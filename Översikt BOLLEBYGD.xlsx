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46226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46226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46226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46226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46226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46226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46226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46226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46226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13115-2026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46093</v>
      </c>
      <c r="E12" s="1" t="n">
        <v>46226</v>
      </c>
      <c r="F12" t="inlineStr">
        <is>
          <t>VÄSTRA GÖTALANDS LÄN</t>
        </is>
      </c>
      <c r="G12" t="inlineStr">
        <is>
          <t>BOLLEBYGD</t>
        </is>
      </c>
      <c r="I12" t="n">
        <v>6.5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Mattlummer
Fläcknycklar</t>
        </is>
      </c>
      <c r="W12">
        <f>HYPERLINK("https://klasma.github.io/Logging_1443/artfynd/A 13115-2026 artfynd.xlsx", "A 13115-2026")</f>
        <v/>
      </c>
      <c r="X12">
        <f>HYPERLINK("https://klasma.github.io/Logging_1443/kartor/A 13115-2026 karta.png", "A 13115-2026")</f>
        <v/>
      </c>
      <c r="Y12">
        <f>HYPERLINK("https://klasma.github.io/Logging_1443/kartor_geotiff/A 13115-2026 georefererad karta.tif", "A 13115-2026")</f>
        <v/>
      </c>
      <c r="AA12">
        <f>HYPERLINK("https://klasma.github.io/Logging_1443/klagomål/A 13115-2026 FSC-klagomål.docx", "A 13115-2026")</f>
        <v/>
      </c>
      <c r="AB12">
        <f>HYPERLINK("https://klasma.github.io/Logging_1443/klagomålsmail/A 13115-2026 FSC-klagomål mail.docx", "A 13115-2026")</f>
        <v/>
      </c>
      <c r="AC12">
        <f>HYPERLINK("https://klasma.github.io/Logging_1443/tillsyn/A 13115-2026 tillsynsbegäran.docx", "A 13115-2026")</f>
        <v/>
      </c>
      <c r="AD12">
        <f>HYPERLINK("https://klasma.github.io/Logging_1443/tillsynsmail/A 13115-2026 tillsynsbegäran mail.docx", "A 13115-2026")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46226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Spillkråka
Revlummer</t>
        </is>
      </c>
      <c r="W13">
        <f>HYPERLINK("https://klasma.github.io/Logging_1443/artfynd/A 60380-2025 artfynd.xlsx", "A 60380-2025")</f>
        <v/>
      </c>
      <c r="X13">
        <f>HYPERLINK("https://klasma.github.io/Logging_1443/kartor/A 60380-2025 karta.png", "A 60380-2025")</f>
        <v/>
      </c>
      <c r="Y13">
        <f>HYPERLINK("https://klasma.github.io/Logging_1443/kartor_geotiff/A 60380-2025 georefererad karta.tif", "A 60380-2025")</f>
        <v/>
      </c>
      <c r="AA13">
        <f>HYPERLINK("https://klasma.github.io/Logging_1443/klagomål/A 60380-2025 FSC-klagomål.docx", "A 60380-2025")</f>
        <v/>
      </c>
      <c r="AB13">
        <f>HYPERLINK("https://klasma.github.io/Logging_1443/klagomålsmail/A 60380-2025 FSC-klagomål mail.docx", "A 60380-2025")</f>
        <v/>
      </c>
      <c r="AC13">
        <f>HYPERLINK("https://klasma.github.io/Logging_1443/tillsyn/A 60380-2025 tillsynsbegäran.docx", "A 60380-2025")</f>
        <v/>
      </c>
      <c r="AD13">
        <f>HYPERLINK("https://klasma.github.io/Logging_1443/tillsynsmail/A 60380-2025 tillsynsbegäran mail.docx", "A 60380-2025")</f>
        <v/>
      </c>
      <c r="AE13">
        <f>HYPERLINK("https://klasma.github.io/Logging_1443/fåglar/A 60380-2025 prioriterade fågelarter.docx", "A 60380-2025")</f>
        <v/>
      </c>
    </row>
    <row r="14" ht="15" customHeight="1">
      <c r="A14" t="inlineStr">
        <is>
          <t>A 26670-2026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46226</v>
      </c>
      <c r="F14" t="inlineStr">
        <is>
          <t>VÄSTRA GÖTALANDS LÄN</t>
        </is>
      </c>
      <c r="G14" t="inlineStr">
        <is>
          <t>BOLLEBYGD</t>
        </is>
      </c>
      <c r="I14" t="n">
        <v>15.4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Tofsmes
Grönsiska</t>
        </is>
      </c>
      <c r="W14">
        <f>HYPERLINK("https://klasma.github.io/Logging_1443/artfynd/A 26670-2026 artfynd.xlsx", "A 26670-2026")</f>
        <v/>
      </c>
      <c r="X14">
        <f>HYPERLINK("https://klasma.github.io/Logging_1443/kartor/A 26670-2026 karta.png", "A 26670-2026")</f>
        <v/>
      </c>
      <c r="Y14">
        <f>HYPERLINK("https://klasma.github.io/Logging_1443/kartor_geotiff/A 26670-2026 georefererad karta.tif", "A 26670-2026")</f>
        <v/>
      </c>
      <c r="AA14">
        <f>HYPERLINK("https://klasma.github.io/Logging_1443/klagomål/A 26670-2026 FSC-klagomål.docx", "A 26670-2026")</f>
        <v/>
      </c>
      <c r="AB14">
        <f>HYPERLINK("https://klasma.github.io/Logging_1443/klagomålsmail/A 26670-2026 FSC-klagomål mail.docx", "A 26670-2026")</f>
        <v/>
      </c>
      <c r="AC14">
        <f>HYPERLINK("https://klasma.github.io/Logging_1443/tillsyn/A 26670-2026 tillsynsbegäran.docx", "A 26670-2026")</f>
        <v/>
      </c>
      <c r="AD14">
        <f>HYPERLINK("https://klasma.github.io/Logging_1443/tillsynsmail/A 26670-2026 tillsynsbegäran mail.docx", "A 26670-2026")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46226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46226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Spillkråka
Grönsiska</t>
        </is>
      </c>
      <c r="W16">
        <f>HYPERLINK("https://klasma.github.io/Logging_1443/artfynd/A 31714-2023 artfynd.xlsx", "A 31714-2023")</f>
        <v/>
      </c>
      <c r="X16">
        <f>HYPERLINK("https://klasma.github.io/Logging_1443/kartor/A 31714-2023 karta.png", "A 31714-2023")</f>
        <v/>
      </c>
      <c r="Y16">
        <f>HYPERLINK("https://klasma.github.io/Logging_1443/kartor_geotiff/A 31714-2023 georefererad karta.tif", "A 31714-2023")</f>
        <v/>
      </c>
      <c r="AA16">
        <f>HYPERLINK("https://klasma.github.io/Logging_1443/klagomål/A 31714-2023 FSC-klagomål.docx", "A 31714-2023")</f>
        <v/>
      </c>
      <c r="AB16">
        <f>HYPERLINK("https://klasma.github.io/Logging_1443/klagomålsmail/A 31714-2023 FSC-klagomål mail.docx", "A 31714-2023")</f>
        <v/>
      </c>
      <c r="AC16">
        <f>HYPERLINK("https://klasma.github.io/Logging_1443/tillsyn/A 31714-2023 tillsynsbegäran.docx", "A 31714-2023")</f>
        <v/>
      </c>
      <c r="AD16">
        <f>HYPERLINK("https://klasma.github.io/Logging_1443/tillsynsmail/A 31714-2023 tillsynsbegäran mail.docx", "A 31714-2023")</f>
        <v/>
      </c>
      <c r="AE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46226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46226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46226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46226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46226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46226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46226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46226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46226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46226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46226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46226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46226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46226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46226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46226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46226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46226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46226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46226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46226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46226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46226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46226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46226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46226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46226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46226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46226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46226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46226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46226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46226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45118</v>
      </c>
      <c r="E53" s="1" t="n">
        <v>46226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44946</v>
      </c>
      <c r="E54" s="1" t="n">
        <v>46226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46226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46226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45624</v>
      </c>
      <c r="E57" s="1" t="n">
        <v>46226</v>
      </c>
      <c r="F57" t="inlineStr">
        <is>
          <t>VÄSTRA GÖTALANDS LÄN</t>
        </is>
      </c>
      <c r="G57" t="inlineStr">
        <is>
          <t>BOLLEBYGD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46226</v>
      </c>
      <c r="F58" t="inlineStr">
        <is>
          <t>VÄSTRA GÖTALANDS LÄN</t>
        </is>
      </c>
      <c r="G58" t="inlineStr">
        <is>
          <t>BOLLEBYGD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46226</v>
      </c>
      <c r="F59" t="inlineStr">
        <is>
          <t>VÄSTRA GÖTALANDS LÄN</t>
        </is>
      </c>
      <c r="G59" t="inlineStr">
        <is>
          <t>BOLLEBYGD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46226</v>
      </c>
      <c r="F60" t="inlineStr">
        <is>
          <t>VÄSTRA GÖTALANDS LÄN</t>
        </is>
      </c>
      <c r="G60" t="inlineStr">
        <is>
          <t>BOLLEBYGD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46226</v>
      </c>
      <c r="F61" t="inlineStr">
        <is>
          <t>VÄSTRA GÖTALANDS LÄN</t>
        </is>
      </c>
      <c r="G61" t="inlineStr">
        <is>
          <t>BOLLEBYGD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46226</v>
      </c>
      <c r="F62" t="inlineStr">
        <is>
          <t>VÄSTRA GÖTALANDS LÄN</t>
        </is>
      </c>
      <c r="G62" t="inlineStr">
        <is>
          <t>BOLLEBYGD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45709</v>
      </c>
      <c r="E63" s="1" t="n">
        <v>46226</v>
      </c>
      <c r="F63" t="inlineStr">
        <is>
          <t>VÄSTRA GÖTALANDS LÄN</t>
        </is>
      </c>
      <c r="G63" t="inlineStr">
        <is>
          <t>BOLLEBYGD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7546-2026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46226</v>
      </c>
      <c r="F64" t="inlineStr">
        <is>
          <t>VÄSTRA GÖTALANDS LÄN</t>
        </is>
      </c>
      <c r="G64" t="inlineStr">
        <is>
          <t>BOLLEBYGD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44958</v>
      </c>
      <c r="E65" s="1" t="n">
        <v>46226</v>
      </c>
      <c r="F65" t="inlineStr">
        <is>
          <t>VÄSTRA GÖTALANDS LÄN</t>
        </is>
      </c>
      <c r="G65" t="inlineStr">
        <is>
          <t>BOLLEBYGD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44683</v>
      </c>
      <c r="E66" s="1" t="n">
        <v>46226</v>
      </c>
      <c r="F66" t="inlineStr">
        <is>
          <t>VÄSTRA GÖTALANDS LÄN</t>
        </is>
      </c>
      <c r="G66" t="inlineStr">
        <is>
          <t>BOLLEBYGD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54295-2023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45232</v>
      </c>
      <c r="E67" s="1" t="n">
        <v>46226</v>
      </c>
      <c r="F67" t="inlineStr">
        <is>
          <t>VÄSTRA GÖTALANDS LÄN</t>
        </is>
      </c>
      <c r="G67" t="inlineStr">
        <is>
          <t>BOLLEBYGD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45476</v>
      </c>
      <c r="E68" s="1" t="n">
        <v>46226</v>
      </c>
      <c r="F68" t="inlineStr">
        <is>
          <t>VÄSTRA GÖTALANDS LÄN</t>
        </is>
      </c>
      <c r="G68" t="inlineStr">
        <is>
          <t>BOLLEBYGD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45204</v>
      </c>
      <c r="E69" s="1" t="n">
        <v>46226</v>
      </c>
      <c r="F69" t="inlineStr">
        <is>
          <t>VÄSTRA GÖTALANDS LÄN</t>
        </is>
      </c>
      <c r="G69" t="inlineStr">
        <is>
          <t>BOLLEBYGD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46226</v>
      </c>
      <c r="F70" t="inlineStr">
        <is>
          <t>VÄSTRA GÖTALANDS LÄN</t>
        </is>
      </c>
      <c r="G70" t="inlineStr">
        <is>
          <t>BOLLEBYGD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45359</v>
      </c>
      <c r="E71" s="1" t="n">
        <v>46226</v>
      </c>
      <c r="F71" t="inlineStr">
        <is>
          <t>VÄSTRA GÖTALANDS LÄN</t>
        </is>
      </c>
      <c r="G71" t="inlineStr">
        <is>
          <t>BOLLEBYGD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65143-2023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46226</v>
      </c>
      <c r="F72" t="inlineStr">
        <is>
          <t>VÄSTRA GÖTALANDS LÄN</t>
        </is>
      </c>
      <c r="G72" t="inlineStr">
        <is>
          <t>BOLLEBYGD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46226</v>
      </c>
      <c r="F73" t="inlineStr">
        <is>
          <t>VÄSTRA GÖTALANDS LÄN</t>
        </is>
      </c>
      <c r="G73" t="inlineStr">
        <is>
          <t>BOLLEBYGD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45825</v>
      </c>
      <c r="E74" s="1" t="n">
        <v>46226</v>
      </c>
      <c r="F74" t="inlineStr">
        <is>
          <t>VÄSTRA GÖTALANDS LÄN</t>
        </is>
      </c>
      <c r="G74" t="inlineStr">
        <is>
          <t>BOLLEBYGD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17434-2026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46120</v>
      </c>
      <c r="E75" s="1" t="n">
        <v>46226</v>
      </c>
      <c r="F75" t="inlineStr">
        <is>
          <t>VÄSTRA GÖTALANDS LÄN</t>
        </is>
      </c>
      <c r="G75" t="inlineStr">
        <is>
          <t>BOLLEBYGD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11584-2026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46084</v>
      </c>
      <c r="E76" s="1" t="n">
        <v>46226</v>
      </c>
      <c r="F76" t="inlineStr">
        <is>
          <t>VÄSTRA GÖTALANDS LÄN</t>
        </is>
      </c>
      <c r="G76" t="inlineStr">
        <is>
          <t>BOLLEBYGD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44981</v>
      </c>
      <c r="E77" s="1" t="n">
        <v>46226</v>
      </c>
      <c r="F77" t="inlineStr">
        <is>
          <t>VÄSTRA GÖTALANDS LÄN</t>
        </is>
      </c>
      <c r="G77" t="inlineStr">
        <is>
          <t>BOLLEBYGD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12503-2026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46226</v>
      </c>
      <c r="F78" t="inlineStr">
        <is>
          <t>VÄSTRA GÖTALANDS LÄN</t>
        </is>
      </c>
      <c r="G78" t="inlineStr">
        <is>
          <t>BOLLEBYGD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45722</v>
      </c>
      <c r="E79" s="1" t="n">
        <v>46226</v>
      </c>
      <c r="F79" t="inlineStr">
        <is>
          <t>VÄSTRA GÖTALANDS LÄN</t>
        </is>
      </c>
      <c r="G79" t="inlineStr">
        <is>
          <t>BOLLEBYGD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12469-2026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46226</v>
      </c>
      <c r="F80" t="inlineStr">
        <is>
          <t>VÄSTRA GÖTALANDS LÄN</t>
        </is>
      </c>
      <c r="G80" t="inlineStr">
        <is>
          <t>BOLLEBYGD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12879-2026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46092</v>
      </c>
      <c r="E81" s="1" t="n">
        <v>46226</v>
      </c>
      <c r="F81" t="inlineStr">
        <is>
          <t>VÄSTRA GÖTALANDS LÄN</t>
        </is>
      </c>
      <c r="G81" t="inlineStr">
        <is>
          <t>BOLLEBYGD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46226</v>
      </c>
      <c r="F82" t="inlineStr">
        <is>
          <t>VÄSTRA GÖTALANDS LÄN</t>
        </is>
      </c>
      <c r="G82" t="inlineStr">
        <is>
          <t>BOLLEBYGD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46226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54783-2025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45966</v>
      </c>
      <c r="E84" s="1" t="n">
        <v>46226</v>
      </c>
      <c r="F84" t="inlineStr">
        <is>
          <t>VÄSTRA GÖTALANDS LÄN</t>
        </is>
      </c>
      <c r="G84" t="inlineStr">
        <is>
          <t>BOLLEBYGD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46226</v>
      </c>
      <c r="F85" t="inlineStr">
        <is>
          <t>VÄSTRA GÖTALANDS LÄN</t>
        </is>
      </c>
      <c r="G85" t="inlineStr">
        <is>
          <t>BOLLEBYGD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46226</v>
      </c>
      <c r="F86" t="inlineStr">
        <is>
          <t>VÄSTRA GÖTALANDS LÄN</t>
        </is>
      </c>
      <c r="G86" t="inlineStr">
        <is>
          <t>BOLLEBYGD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46226</v>
      </c>
      <c r="F87" t="inlineStr">
        <is>
          <t>VÄSTRA GÖTALANDS LÄN</t>
        </is>
      </c>
      <c r="G87" t="inlineStr">
        <is>
          <t>BOLLEBYGD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46226</v>
      </c>
      <c r="F88" t="inlineStr">
        <is>
          <t>VÄSTRA GÖTALANDS LÄN</t>
        </is>
      </c>
      <c r="G88" t="inlineStr">
        <is>
          <t>BOLLEBYGD</t>
        </is>
      </c>
      <c r="H88" t="inlineStr">
        <is>
          <t>Sveaskog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46226</v>
      </c>
      <c r="F89" t="inlineStr">
        <is>
          <t>VÄSTRA GÖTALANDS LÄN</t>
        </is>
      </c>
      <c r="G89" t="inlineStr">
        <is>
          <t>BOLLEBYGD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46099</v>
      </c>
      <c r="E90" s="1" t="n">
        <v>46226</v>
      </c>
      <c r="F90" t="inlineStr">
        <is>
          <t>VÄSTRA GÖTALANDS LÄN</t>
        </is>
      </c>
      <c r="G90" t="inlineStr">
        <is>
          <t>BOLLEBYGD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58010-2022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44900</v>
      </c>
      <c r="E91" s="1" t="n">
        <v>46226</v>
      </c>
      <c r="F91" t="inlineStr">
        <is>
          <t>VÄSTRA GÖTALANDS LÄN</t>
        </is>
      </c>
      <c r="G91" t="inlineStr">
        <is>
          <t>BOLLEBYGD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14545-2026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46100</v>
      </c>
      <c r="E92" s="1" t="n">
        <v>46226</v>
      </c>
      <c r="F92" t="inlineStr">
        <is>
          <t>VÄSTRA GÖTALANDS LÄN</t>
        </is>
      </c>
      <c r="G92" t="inlineStr">
        <is>
          <t>BOLLEBYGD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50302-2023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46226</v>
      </c>
      <c r="F93" t="inlineStr">
        <is>
          <t>VÄSTRA GÖTALANDS LÄN</t>
        </is>
      </c>
      <c r="G93" t="inlineStr">
        <is>
          <t>BOLLEBYGD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46226</v>
      </c>
      <c r="F94" t="inlineStr">
        <is>
          <t>VÄSTRA GÖTALANDS LÄN</t>
        </is>
      </c>
      <c r="G94" t="inlineStr">
        <is>
          <t>BOLLEBYGD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46226</v>
      </c>
      <c r="F95" t="inlineStr">
        <is>
          <t>VÄSTRA GÖTALANDS LÄN</t>
        </is>
      </c>
      <c r="G95" t="inlineStr">
        <is>
          <t>BOLLEBYGD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46226</v>
      </c>
      <c r="F96" t="inlineStr">
        <is>
          <t>VÄSTRA GÖTALANDS LÄN</t>
        </is>
      </c>
      <c r="G96" t="inlineStr">
        <is>
          <t>BOLLEBYGD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46226</v>
      </c>
      <c r="F97" t="inlineStr">
        <is>
          <t>VÄSTRA GÖTALANDS LÄN</t>
        </is>
      </c>
      <c r="G97" t="inlineStr">
        <is>
          <t>BOLLEBYGD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46226</v>
      </c>
      <c r="F98" t="inlineStr">
        <is>
          <t>VÄSTRA GÖTALANDS LÄN</t>
        </is>
      </c>
      <c r="G98" t="inlineStr">
        <is>
          <t>BOLLEBYGD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46226</v>
      </c>
      <c r="F99" t="inlineStr">
        <is>
          <t>VÄSTRA GÖTALANDS LÄN</t>
        </is>
      </c>
      <c r="G99" t="inlineStr">
        <is>
          <t>BOLLEBYGD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46226</v>
      </c>
      <c r="F100" t="inlineStr">
        <is>
          <t>VÄSTRA GÖTALANDS LÄN</t>
        </is>
      </c>
      <c r="G100" t="inlineStr">
        <is>
          <t>BOLLEBYGD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46226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45836</v>
      </c>
      <c r="E102" s="1" t="n">
        <v>46226</v>
      </c>
      <c r="F102" t="inlineStr">
        <is>
          <t>VÄSTRA GÖTALANDS LÄN</t>
        </is>
      </c>
      <c r="G102" t="inlineStr">
        <is>
          <t>BOLLEBYGD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32506-2025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45838</v>
      </c>
      <c r="E103" s="1" t="n">
        <v>46226</v>
      </c>
      <c r="F103" t="inlineStr">
        <is>
          <t>VÄSTRA GÖTALANDS LÄN</t>
        </is>
      </c>
      <c r="G103" t="inlineStr">
        <is>
          <t>BOLLEBYGD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46226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46226</v>
      </c>
      <c r="F105" t="inlineStr">
        <is>
          <t>VÄSTRA GÖTALANDS LÄN</t>
        </is>
      </c>
      <c r="G105" t="inlineStr">
        <is>
          <t>BOLLEBYGD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46226</v>
      </c>
      <c r="F106" t="inlineStr">
        <is>
          <t>VÄSTRA GÖTALANDS LÄN</t>
        </is>
      </c>
      <c r="G106" t="inlineStr">
        <is>
          <t>BOLLEBYGD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46226</v>
      </c>
      <c r="F107" t="inlineStr">
        <is>
          <t>VÄSTRA GÖTALANDS LÄN</t>
        </is>
      </c>
      <c r="G107" t="inlineStr">
        <is>
          <t>BOLLEBYGD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46226</v>
      </c>
      <c r="F108" t="inlineStr">
        <is>
          <t>VÄSTRA GÖTALANDS LÄN</t>
        </is>
      </c>
      <c r="G108" t="inlineStr">
        <is>
          <t>BOLLEBYGD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46226</v>
      </c>
      <c r="F109" t="inlineStr">
        <is>
          <t>VÄSTRA GÖTALANDS LÄN</t>
        </is>
      </c>
      <c r="G109" t="inlineStr">
        <is>
          <t>BOLLEBYGD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46226</v>
      </c>
      <c r="F110" t="inlineStr">
        <is>
          <t>VÄSTRA GÖTALANDS LÄN</t>
        </is>
      </c>
      <c r="G110" t="inlineStr">
        <is>
          <t>BOLLEBYGD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46226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46226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45696</v>
      </c>
      <c r="E113" s="1" t="n">
        <v>46226</v>
      </c>
      <c r="F113" t="inlineStr">
        <is>
          <t>VÄSTRA GÖTALANDS LÄN</t>
        </is>
      </c>
      <c r="G113" t="inlineStr">
        <is>
          <t>BOLLEBYGD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67455-2021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46226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18305-2025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45762</v>
      </c>
      <c r="E115" s="1" t="n">
        <v>46226</v>
      </c>
      <c r="F115" t="inlineStr">
        <is>
          <t>VÄSTRA GÖTALANDS LÄN</t>
        </is>
      </c>
      <c r="G115" t="inlineStr">
        <is>
          <t>BOLLEBYGD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45248</v>
      </c>
      <c r="E116" s="1" t="n">
        <v>46226</v>
      </c>
      <c r="F116" t="inlineStr">
        <is>
          <t>VÄSTRA GÖTALANDS LÄN</t>
        </is>
      </c>
      <c r="G116" t="inlineStr">
        <is>
          <t>BOLLEBYGD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46226</v>
      </c>
      <c r="F117" t="inlineStr">
        <is>
          <t>VÄSTRA GÖTALANDS LÄN</t>
        </is>
      </c>
      <c r="G117" t="inlineStr">
        <is>
          <t>BOLLEBYGD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46226</v>
      </c>
      <c r="F118" t="inlineStr">
        <is>
          <t>VÄSTRA GÖTALANDS LÄN</t>
        </is>
      </c>
      <c r="G118" t="inlineStr">
        <is>
          <t>BOLLEBYGD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46226</v>
      </c>
      <c r="F119" t="inlineStr">
        <is>
          <t>VÄSTRA GÖTALANDS LÄN</t>
        </is>
      </c>
      <c r="G119" t="inlineStr">
        <is>
          <t>BOLLEBYGD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45534</v>
      </c>
      <c r="E120" s="1" t="n">
        <v>46226</v>
      </c>
      <c r="F120" t="inlineStr">
        <is>
          <t>VÄSTRA GÖTALANDS LÄN</t>
        </is>
      </c>
      <c r="G120" t="inlineStr">
        <is>
          <t>BOLLEBYGD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46226</v>
      </c>
      <c r="F121" t="inlineStr">
        <is>
          <t>VÄSTRA GÖTALANDS LÄN</t>
        </is>
      </c>
      <c r="G121" t="inlineStr">
        <is>
          <t>BOLLEBYGD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45803</v>
      </c>
      <c r="E122" s="1" t="n">
        <v>46226</v>
      </c>
      <c r="F122" t="inlineStr">
        <is>
          <t>VÄSTRA GÖTALANDS LÄN</t>
        </is>
      </c>
      <c r="G122" t="inlineStr">
        <is>
          <t>BOLLEBYGD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46226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45215</v>
      </c>
      <c r="E124" s="1" t="n">
        <v>46226</v>
      </c>
      <c r="F124" t="inlineStr">
        <is>
          <t>VÄSTRA GÖTALANDS LÄN</t>
        </is>
      </c>
      <c r="G124" t="inlineStr">
        <is>
          <t>BOLLEBYGD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45197</v>
      </c>
      <c r="E125" s="1" t="n">
        <v>46226</v>
      </c>
      <c r="F125" t="inlineStr">
        <is>
          <t>VÄSTRA GÖTALANDS LÄN</t>
        </is>
      </c>
      <c r="G125" t="inlineStr">
        <is>
          <t>BOLLEBYGD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46226</v>
      </c>
      <c r="F126" t="inlineStr">
        <is>
          <t>VÄSTRA GÖTALANDS LÄN</t>
        </is>
      </c>
      <c r="G126" t="inlineStr">
        <is>
          <t>BOLLEBYGD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46226</v>
      </c>
      <c r="F127" t="inlineStr">
        <is>
          <t>VÄSTRA GÖTALANDS LÄN</t>
        </is>
      </c>
      <c r="G127" t="inlineStr">
        <is>
          <t>BOLLEBYGD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46226</v>
      </c>
      <c r="F128" t="inlineStr">
        <is>
          <t>VÄSTRA GÖTALANDS LÄN</t>
        </is>
      </c>
      <c r="G128" t="inlineStr">
        <is>
          <t>BOLLEBYGD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42157-2021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44426</v>
      </c>
      <c r="E129" s="1" t="n">
        <v>46226</v>
      </c>
      <c r="F129" t="inlineStr">
        <is>
          <t>VÄSTRA GÖTALANDS LÄN</t>
        </is>
      </c>
      <c r="G129" t="inlineStr">
        <is>
          <t>BOLLEBYGD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46226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45993</v>
      </c>
      <c r="E131" s="1" t="n">
        <v>46226</v>
      </c>
      <c r="F131" t="inlineStr">
        <is>
          <t>VÄSTRA GÖTALANDS LÄN</t>
        </is>
      </c>
      <c r="G131" t="inlineStr">
        <is>
          <t>BOLLEBYGD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46226</v>
      </c>
      <c r="F132" t="inlineStr">
        <is>
          <t>VÄSTRA GÖTALANDS LÄN</t>
        </is>
      </c>
      <c r="G132" t="inlineStr">
        <is>
          <t>BOLLEBYGD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46226</v>
      </c>
      <c r="F133" t="inlineStr">
        <is>
          <t>VÄSTRA GÖTALANDS LÄN</t>
        </is>
      </c>
      <c r="G133" t="inlineStr">
        <is>
          <t>BOLLEBYGD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46226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46226</v>
      </c>
      <c r="F135" t="inlineStr">
        <is>
          <t>VÄSTRA GÖTALANDS LÄN</t>
        </is>
      </c>
      <c r="G135" t="inlineStr">
        <is>
          <t>BOLLEBYGD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46226</v>
      </c>
      <c r="F136" t="inlineStr">
        <is>
          <t>VÄSTRA GÖTALANDS LÄN</t>
        </is>
      </c>
      <c r="G136" t="inlineStr">
        <is>
          <t>BOLLEBYGD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46226</v>
      </c>
      <c r="F137" t="inlineStr">
        <is>
          <t>VÄSTRA GÖTALANDS LÄN</t>
        </is>
      </c>
      <c r="G137" t="inlineStr">
        <is>
          <t>BOLLEBYGD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44602</v>
      </c>
      <c r="E138" s="1" t="n">
        <v>46226</v>
      </c>
      <c r="F138" t="inlineStr">
        <is>
          <t>VÄSTRA GÖTALANDS LÄN</t>
        </is>
      </c>
      <c r="G138" t="inlineStr">
        <is>
          <t>BOLLEBYGD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46226</v>
      </c>
      <c r="F139" t="inlineStr">
        <is>
          <t>VÄSTRA GÖTALANDS LÄN</t>
        </is>
      </c>
      <c r="G139" t="inlineStr">
        <is>
          <t>BOLLEBYGD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64207-2021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46226</v>
      </c>
      <c r="F140" t="inlineStr">
        <is>
          <t>VÄSTRA GÖTALANDS LÄN</t>
        </is>
      </c>
      <c r="G140" t="inlineStr">
        <is>
          <t>BOLLEBYGD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46226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45872</v>
      </c>
      <c r="E142" s="1" t="n">
        <v>46226</v>
      </c>
      <c r="F142" t="inlineStr">
        <is>
          <t>VÄSTRA GÖTALANDS LÄN</t>
        </is>
      </c>
      <c r="G142" t="inlineStr">
        <is>
          <t>BOLLEBYGD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46226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46226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44726</v>
      </c>
      <c r="E145" s="1" t="n">
        <v>46226</v>
      </c>
      <c r="F145" t="inlineStr">
        <is>
          <t>VÄSTRA GÖTALANDS LÄN</t>
        </is>
      </c>
      <c r="G145" t="inlineStr">
        <is>
          <t>BOLLEBYGD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46226</v>
      </c>
      <c r="F146" t="inlineStr">
        <is>
          <t>VÄSTRA GÖTALANDS LÄN</t>
        </is>
      </c>
      <c r="G146" t="inlineStr">
        <is>
          <t>BOLLEBYGD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45621</v>
      </c>
      <c r="E147" s="1" t="n">
        <v>46226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46226</v>
      </c>
      <c r="F148" t="inlineStr">
        <is>
          <t>VÄSTRA GÖTALANDS LÄN</t>
        </is>
      </c>
      <c r="G148" t="inlineStr">
        <is>
          <t>BOLLEBYGD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46184</v>
      </c>
      <c r="E149" s="1" t="n">
        <v>46226</v>
      </c>
      <c r="F149" t="inlineStr">
        <is>
          <t>VÄSTRA GÖTALANDS LÄN</t>
        </is>
      </c>
      <c r="G149" t="inlineStr">
        <is>
          <t>BOLLEBYGD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46226</v>
      </c>
      <c r="F150" t="inlineStr">
        <is>
          <t>VÄSTRA GÖTALANDS LÄN</t>
        </is>
      </c>
      <c r="G150" t="inlineStr">
        <is>
          <t>BOLLEBYGD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9159-2024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45358</v>
      </c>
      <c r="E151" s="1" t="n">
        <v>46226</v>
      </c>
      <c r="F151" t="inlineStr">
        <is>
          <t>VÄSTRA GÖTALANDS LÄN</t>
        </is>
      </c>
      <c r="G151" t="inlineStr">
        <is>
          <t>BOLLEBYGD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46226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10610-2025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45721</v>
      </c>
      <c r="E153" s="1" t="n">
        <v>46226</v>
      </c>
      <c r="F153" t="inlineStr">
        <is>
          <t>VÄSTRA GÖTALANDS LÄN</t>
        </is>
      </c>
      <c r="G153" t="inlineStr">
        <is>
          <t>BOLLEBYGD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46226</v>
      </c>
      <c r="F154" t="inlineStr">
        <is>
          <t>VÄSTRA GÖTALANDS LÄN</t>
        </is>
      </c>
      <c r="G154" t="inlineStr">
        <is>
          <t>BOLLEBYGD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45276</v>
      </c>
      <c r="E155" s="1" t="n">
        <v>46226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46226</v>
      </c>
      <c r="F156" t="inlineStr">
        <is>
          <t>VÄSTRA GÖTALANDS LÄN</t>
        </is>
      </c>
      <c r="G156" t="inlineStr">
        <is>
          <t>BOLLEBYGD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46226</v>
      </c>
      <c r="F157" t="inlineStr">
        <is>
          <t>VÄSTRA GÖTALANDS LÄN</t>
        </is>
      </c>
      <c r="G157" t="inlineStr">
        <is>
          <t>BOLLEBYGD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45254</v>
      </c>
      <c r="E158" s="1" t="n">
        <v>46226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46226</v>
      </c>
      <c r="F159" t="inlineStr">
        <is>
          <t>VÄSTRA GÖTALANDS LÄN</t>
        </is>
      </c>
      <c r="G159" t="inlineStr">
        <is>
          <t>BOLLEBYGD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31546-2022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44775</v>
      </c>
      <c r="E160" s="1" t="n">
        <v>46226</v>
      </c>
      <c r="F160" t="inlineStr">
        <is>
          <t>VÄSTRA GÖTALANDS LÄN</t>
        </is>
      </c>
      <c r="G160" t="inlineStr">
        <is>
          <t>BOLLEBYGD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62986-2023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45272</v>
      </c>
      <c r="E161" s="1" t="n">
        <v>46226</v>
      </c>
      <c r="F161" t="inlineStr">
        <is>
          <t>VÄSTRA GÖTALANDS LÄN</t>
        </is>
      </c>
      <c r="G161" t="inlineStr">
        <is>
          <t>BOLLEBYGD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59816-2021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46226</v>
      </c>
      <c r="F162" t="inlineStr">
        <is>
          <t>VÄSTRA GÖTALANDS LÄN</t>
        </is>
      </c>
      <c r="G162" t="inlineStr">
        <is>
          <t>BOLLEBYGD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46226</v>
      </c>
      <c r="F163" t="inlineStr">
        <is>
          <t>VÄSTRA GÖTALANDS LÄN</t>
        </is>
      </c>
      <c r="G163" t="inlineStr">
        <is>
          <t>BOLLEBYGD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45112</v>
      </c>
      <c r="E164" s="1" t="n">
        <v>46226</v>
      </c>
      <c r="F164" t="inlineStr">
        <is>
          <t>VÄSTRA GÖTALANDS LÄN</t>
        </is>
      </c>
      <c r="G164" t="inlineStr">
        <is>
          <t>BOLLEBYGD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46226</v>
      </c>
      <c r="F165" t="inlineStr">
        <is>
          <t>VÄSTRA GÖTALANDS LÄN</t>
        </is>
      </c>
      <c r="G165" t="inlineStr">
        <is>
          <t>BOLLEBYGD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46226</v>
      </c>
      <c r="F166" t="inlineStr">
        <is>
          <t>VÄSTRA GÖTALANDS LÄN</t>
        </is>
      </c>
      <c r="G166" t="inlineStr">
        <is>
          <t>BOLLEBYGD</t>
        </is>
      </c>
      <c r="H166" t="inlineStr">
        <is>
          <t>Kyrkan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46226</v>
      </c>
      <c r="F167" t="inlineStr">
        <is>
          <t>VÄSTRA GÖTALANDS LÄN</t>
        </is>
      </c>
      <c r="G167" t="inlineStr">
        <is>
          <t>BOLLEBYGD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46226</v>
      </c>
      <c r="F168" t="inlineStr">
        <is>
          <t>VÄSTRA GÖTALANDS LÄN</t>
        </is>
      </c>
      <c r="G168" t="inlineStr">
        <is>
          <t>BOLLEBYGD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65118-2023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45288</v>
      </c>
      <c r="E169" s="1" t="n">
        <v>46226</v>
      </c>
      <c r="F169" t="inlineStr">
        <is>
          <t>VÄSTRA GÖTALANDS LÄN</t>
        </is>
      </c>
      <c r="G169" t="inlineStr">
        <is>
          <t>BOLLEBYGD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46226</v>
      </c>
      <c r="F170" t="inlineStr">
        <is>
          <t>VÄSTRA GÖTALANDS LÄN</t>
        </is>
      </c>
      <c r="G170" t="inlineStr">
        <is>
          <t>BOLLEBYGD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46226</v>
      </c>
      <c r="F171" t="inlineStr">
        <is>
          <t>VÄSTRA GÖTALANDS LÄN</t>
        </is>
      </c>
      <c r="G171" t="inlineStr">
        <is>
          <t>BOLLEBYGD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46226</v>
      </c>
      <c r="F172" t="inlineStr">
        <is>
          <t>VÄSTRA GÖTALANDS LÄN</t>
        </is>
      </c>
      <c r="G172" t="inlineStr">
        <is>
          <t>BOLLEBYGD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46226</v>
      </c>
      <c r="F173" t="inlineStr">
        <is>
          <t>VÄSTRA GÖTALANDS LÄN</t>
        </is>
      </c>
      <c r="G173" t="inlineStr">
        <is>
          <t>BOLLEBYGD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46052</v>
      </c>
      <c r="E174" s="1" t="n">
        <v>46226</v>
      </c>
      <c r="F174" t="inlineStr">
        <is>
          <t>VÄSTRA GÖTALANDS LÄN</t>
        </is>
      </c>
      <c r="G174" t="inlineStr">
        <is>
          <t>BOLLEBYGD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46226</v>
      </c>
      <c r="F175" t="inlineStr">
        <is>
          <t>VÄSTRA GÖTALANDS LÄN</t>
        </is>
      </c>
      <c r="G175" t="inlineStr">
        <is>
          <t>BOLLEBYGD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46226</v>
      </c>
      <c r="F176" t="inlineStr">
        <is>
          <t>VÄSTRA GÖTALANDS LÄN</t>
        </is>
      </c>
      <c r="G176" t="inlineStr">
        <is>
          <t>BOLLEBYGD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45180</v>
      </c>
      <c r="E177" s="1" t="n">
        <v>46226</v>
      </c>
      <c r="F177" t="inlineStr">
        <is>
          <t>VÄSTRA GÖTALANDS LÄN</t>
        </is>
      </c>
      <c r="G177" t="inlineStr">
        <is>
          <t>BOLLEBYGD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42256-2023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46226</v>
      </c>
      <c r="F178" t="inlineStr">
        <is>
          <t>VÄSTRA GÖTALANDS LÄN</t>
        </is>
      </c>
      <c r="G178" t="inlineStr">
        <is>
          <t>BOLLEBYGD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45308</v>
      </c>
      <c r="E179" s="1" t="n">
        <v>46226</v>
      </c>
      <c r="F179" t="inlineStr">
        <is>
          <t>VÄSTRA GÖTALANDS LÄN</t>
        </is>
      </c>
      <c r="G179" t="inlineStr">
        <is>
          <t>BOLLEBYGD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46226</v>
      </c>
      <c r="F180" t="inlineStr">
        <is>
          <t>VÄSTRA GÖTALANDS LÄN</t>
        </is>
      </c>
      <c r="G180" t="inlineStr">
        <is>
          <t>BOLLEBYGD</t>
        </is>
      </c>
      <c r="H180" t="inlineStr">
        <is>
          <t>Kommuner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30098-2026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46226</v>
      </c>
      <c r="F181" t="inlineStr">
        <is>
          <t>VÄSTRA GÖTALANDS LÄN</t>
        </is>
      </c>
      <c r="G181" t="inlineStr">
        <is>
          <t>BOLLEBYGD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46226</v>
      </c>
      <c r="F182" t="inlineStr">
        <is>
          <t>VÄSTRA GÖTALANDS LÄN</t>
        </is>
      </c>
      <c r="G182" t="inlineStr">
        <is>
          <t>BOLLEBYGD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46226</v>
      </c>
      <c r="F183" t="inlineStr">
        <is>
          <t>VÄSTRA GÖTALANDS LÄN</t>
        </is>
      </c>
      <c r="G183" t="inlineStr">
        <is>
          <t>BOLLEBYGD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46226</v>
      </c>
      <c r="F184" t="inlineStr">
        <is>
          <t>VÄSTRA GÖTALANDS LÄN</t>
        </is>
      </c>
      <c r="G184" t="inlineStr">
        <is>
          <t>BOLLEBYGD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46226</v>
      </c>
      <c r="F185" t="inlineStr">
        <is>
          <t>VÄSTRA GÖTALANDS LÄN</t>
        </is>
      </c>
      <c r="G185" t="inlineStr">
        <is>
          <t>BOLLEBYGD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46226</v>
      </c>
      <c r="F186" t="inlineStr">
        <is>
          <t>VÄSTRA GÖTALANDS LÄN</t>
        </is>
      </c>
      <c r="G186" t="inlineStr">
        <is>
          <t>BOLLEBYGD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44754</v>
      </c>
      <c r="E187" s="1" t="n">
        <v>46226</v>
      </c>
      <c r="F187" t="inlineStr">
        <is>
          <t>VÄSTRA GÖTALANDS LÄN</t>
        </is>
      </c>
      <c r="G187" t="inlineStr">
        <is>
          <t>BOLLEBYGD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57036-2024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46226</v>
      </c>
      <c r="F188" t="inlineStr">
        <is>
          <t>VÄSTRA GÖTALANDS LÄN</t>
        </is>
      </c>
      <c r="G188" t="inlineStr">
        <is>
          <t>BOLLEBYGD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44882</v>
      </c>
      <c r="E189" s="1" t="n">
        <v>46226</v>
      </c>
      <c r="F189" t="inlineStr">
        <is>
          <t>VÄSTRA GÖTALANDS LÄN</t>
        </is>
      </c>
      <c r="G189" t="inlineStr">
        <is>
          <t>BOLLEBYGD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44658</v>
      </c>
      <c r="E190" s="1" t="n">
        <v>46226</v>
      </c>
      <c r="F190" t="inlineStr">
        <is>
          <t>VÄSTRA GÖTALANDS LÄN</t>
        </is>
      </c>
      <c r="G190" t="inlineStr">
        <is>
          <t>BOLLEBYGD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45308</v>
      </c>
      <c r="E191" s="1" t="n">
        <v>46226</v>
      </c>
      <c r="F191" t="inlineStr">
        <is>
          <t>VÄSTRA GÖTALANDS LÄN</t>
        </is>
      </c>
      <c r="G191" t="inlineStr">
        <is>
          <t>BOLLEBYGD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44915</v>
      </c>
      <c r="E192" s="1" t="n">
        <v>46226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45604</v>
      </c>
      <c r="E193" s="1" t="n">
        <v>46226</v>
      </c>
      <c r="F193" t="inlineStr">
        <is>
          <t>VÄSTRA GÖTALANDS LÄN</t>
        </is>
      </c>
      <c r="G193" t="inlineStr">
        <is>
          <t>BOLLEBYGD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46226</v>
      </c>
      <c r="F194" t="inlineStr">
        <is>
          <t>VÄSTRA GÖTALANDS LÄN</t>
        </is>
      </c>
      <c r="G194" t="inlineStr">
        <is>
          <t>BOLLEBYGD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46226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46226</v>
      </c>
      <c r="F196" t="inlineStr">
        <is>
          <t>VÄSTRA GÖTALANDS LÄN</t>
        </is>
      </c>
      <c r="G196" t="inlineStr">
        <is>
          <t>BOLLEBYGD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45624</v>
      </c>
      <c r="E197" s="1" t="n">
        <v>46226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51314-2023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45219</v>
      </c>
      <c r="E198" s="1" t="n">
        <v>46226</v>
      </c>
      <c r="F198" t="inlineStr">
        <is>
          <t>VÄSTRA GÖTALANDS LÄN</t>
        </is>
      </c>
      <c r="G198" t="inlineStr">
        <is>
          <t>BOLLEBYGD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44946</v>
      </c>
      <c r="E199" s="1" t="n">
        <v>46226</v>
      </c>
      <c r="F199" t="inlineStr">
        <is>
          <t>VÄSTRA GÖTALANDS LÄN</t>
        </is>
      </c>
      <c r="G199" t="inlineStr">
        <is>
          <t>BOLLEBYGD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45377</v>
      </c>
      <c r="E200" s="1" t="n">
        <v>46226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40202-2021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44418</v>
      </c>
      <c r="E201" s="1" t="n">
        <v>46226</v>
      </c>
      <c r="F201" t="inlineStr">
        <is>
          <t>VÄSTRA GÖTALANDS LÄN</t>
        </is>
      </c>
      <c r="G201" t="inlineStr">
        <is>
          <t>BOLLEBYGD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44883</v>
      </c>
      <c r="E202" s="1" t="n">
        <v>46226</v>
      </c>
      <c r="F202" t="inlineStr">
        <is>
          <t>VÄSTRA GÖTALANDS LÄN</t>
        </is>
      </c>
      <c r="G202" t="inlineStr">
        <is>
          <t>BOLLEBYGD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46226</v>
      </c>
      <c r="F203" t="inlineStr">
        <is>
          <t>VÄSTRA GÖTALANDS LÄN</t>
        </is>
      </c>
      <c r="G203" t="inlineStr">
        <is>
          <t>BOLLEBYGD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46226</v>
      </c>
      <c r="F204" t="inlineStr">
        <is>
          <t>VÄSTRA GÖTALANDS LÄN</t>
        </is>
      </c>
      <c r="G204" t="inlineStr">
        <is>
          <t>BOLLEBYGD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46226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45070</v>
      </c>
      <c r="E206" s="1" t="n">
        <v>46226</v>
      </c>
      <c r="F206" t="inlineStr">
        <is>
          <t>VÄSTRA GÖTALANDS LÄN</t>
        </is>
      </c>
      <c r="G206" t="inlineStr">
        <is>
          <t>BOLLEBYGD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46226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46226</v>
      </c>
      <c r="F208" t="inlineStr">
        <is>
          <t>VÄSTRA GÖTALANDS LÄN</t>
        </is>
      </c>
      <c r="G208" t="inlineStr">
        <is>
          <t>BOLLEBYGD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46226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46226</v>
      </c>
      <c r="F210" t="inlineStr">
        <is>
          <t>VÄSTRA GÖTALANDS LÄN</t>
        </is>
      </c>
      <c r="G210" t="inlineStr">
        <is>
          <t>BOLLEBYGD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21751-2022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44708</v>
      </c>
      <c r="E211" s="1" t="n">
        <v>46226</v>
      </c>
      <c r="F211" t="inlineStr">
        <is>
          <t>VÄSTRA GÖTALANDS LÄN</t>
        </is>
      </c>
      <c r="G211" t="inlineStr">
        <is>
          <t>BOLLEBYGD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45303</v>
      </c>
      <c r="E212" s="1" t="n">
        <v>46226</v>
      </c>
      <c r="F212" t="inlineStr">
        <is>
          <t>VÄSTRA GÖTALANDS LÄN</t>
        </is>
      </c>
      <c r="G212" t="inlineStr">
        <is>
          <t>BOLLEBYGD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45310</v>
      </c>
      <c r="E213" s="1" t="n">
        <v>46226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46226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46226</v>
      </c>
      <c r="F215" t="inlineStr">
        <is>
          <t>VÄSTRA GÖTALANDS LÄN</t>
        </is>
      </c>
      <c r="G215" t="inlineStr">
        <is>
          <t>BOLLEBYGD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46226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46226</v>
      </c>
      <c r="F217" t="inlineStr">
        <is>
          <t>VÄSTRA GÖTALANDS LÄN</t>
        </is>
      </c>
      <c r="G217" t="inlineStr">
        <is>
          <t>BOLLEBYGD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46226</v>
      </c>
      <c r="F218" t="inlineStr">
        <is>
          <t>VÄSTRA GÖTALANDS LÄN</t>
        </is>
      </c>
      <c r="G218" t="inlineStr">
        <is>
          <t>BOLLEBYGD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46226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44628</v>
      </c>
      <c r="E220" s="1" t="n">
        <v>46226</v>
      </c>
      <c r="F220" t="inlineStr">
        <is>
          <t>VÄSTRA GÖTALANDS LÄN</t>
        </is>
      </c>
      <c r="G220" t="inlineStr">
        <is>
          <t>BOLLEBYGD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46226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46226</v>
      </c>
      <c r="F222" t="inlineStr">
        <is>
          <t>VÄSTRA GÖTALANDS LÄN</t>
        </is>
      </c>
      <c r="G222" t="inlineStr">
        <is>
          <t>BOLLEBYGD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46226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46226</v>
      </c>
      <c r="F224" t="inlineStr">
        <is>
          <t>VÄSTRA GÖTALANDS LÄN</t>
        </is>
      </c>
      <c r="G224" t="inlineStr">
        <is>
          <t>BOLLEBYGD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45624</v>
      </c>
      <c r="E225" s="1" t="n">
        <v>46226</v>
      </c>
      <c r="F225" t="inlineStr">
        <is>
          <t>VÄSTRA GÖTALANDS LÄN</t>
        </is>
      </c>
      <c r="G225" t="inlineStr">
        <is>
          <t>BOLLEBYGD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46226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70708-2021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44537</v>
      </c>
      <c r="E227" s="1" t="n">
        <v>46226</v>
      </c>
      <c r="F227" t="inlineStr">
        <is>
          <t>VÄSTRA GÖTALANDS LÄN</t>
        </is>
      </c>
      <c r="G227" t="inlineStr">
        <is>
          <t>BOLLEBYGD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46226</v>
      </c>
      <c r="F228" t="inlineStr">
        <is>
          <t>VÄSTRA GÖTALANDS LÄN</t>
        </is>
      </c>
      <c r="G228" t="inlineStr">
        <is>
          <t>BOLLEBYGD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46226</v>
      </c>
      <c r="F229" t="inlineStr">
        <is>
          <t>VÄSTRA GÖTALANDS LÄN</t>
        </is>
      </c>
      <c r="G229" t="inlineStr">
        <is>
          <t>BOLLEBYGD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46226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46226</v>
      </c>
      <c r="F231" t="inlineStr">
        <is>
          <t>VÄSTRA GÖTALANDS LÄN</t>
        </is>
      </c>
      <c r="G231" t="inlineStr">
        <is>
          <t>BOLLEBYGD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46226</v>
      </c>
      <c r="F232" t="inlineStr">
        <is>
          <t>VÄSTRA GÖTALANDS LÄN</t>
        </is>
      </c>
      <c r="G232" t="inlineStr">
        <is>
          <t>BOLLEBYGD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23330-2024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45453</v>
      </c>
      <c r="E233" s="1" t="n">
        <v>46226</v>
      </c>
      <c r="F233" t="inlineStr">
        <is>
          <t>VÄSTRA GÖTALANDS LÄN</t>
        </is>
      </c>
      <c r="G233" t="inlineStr">
        <is>
          <t>BOLLEBYGD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46226</v>
      </c>
      <c r="F234" t="inlineStr">
        <is>
          <t>VÄSTRA GÖTALANDS LÄN</t>
        </is>
      </c>
      <c r="G234" t="inlineStr">
        <is>
          <t>BOLLEBYGD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45784</v>
      </c>
      <c r="E235" s="1" t="n">
        <v>46226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45572</v>
      </c>
      <c r="E236" s="1" t="n">
        <v>46226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46226</v>
      </c>
      <c r="F237" t="inlineStr">
        <is>
          <t>VÄSTRA GÖTALANDS LÄN</t>
        </is>
      </c>
      <c r="G237" t="inlineStr">
        <is>
          <t>BOLLEBYGD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46226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46226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46226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2026-07-23T01:41:50Z</dcterms:created>
  <dcterms:modified xmlns:dcterms="http://purl.org/dc/terms/" xmlns:xsi="http://www.w3.org/2001/XMLSchema-instance" xsi:type="dcterms:W3CDTF">2026-07-23T01:41:51Z</dcterms:modified>
</cp:coreProperties>
</file>