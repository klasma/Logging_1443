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45709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45709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45709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45709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51541-2020</t>
        </is>
      </c>
      <c r="B6" s="1" t="n">
        <v>44113</v>
      </c>
      <c r="C6" s="1" t="n">
        <v>45709</v>
      </c>
      <c r="D6" t="inlineStr">
        <is>
          <t>VÄSTRA GÖTALANDS LÄN</t>
        </is>
      </c>
      <c r="E6" t="inlineStr">
        <is>
          <t>BOLLEBYGD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Kambräken</t>
        </is>
      </c>
      <c r="S6">
        <f>HYPERLINK("https://klasma.github.io/Logging_1443/artfynd/A 51541-2020 artfynd.xlsx", "A 51541-2020")</f>
        <v/>
      </c>
      <c r="T6">
        <f>HYPERLINK("https://klasma.github.io/Logging_1443/kartor/A 51541-2020 karta.png", "A 51541-2020")</f>
        <v/>
      </c>
      <c r="V6">
        <f>HYPERLINK("https://klasma.github.io/Logging_1443/klagomål/A 51541-2020 FSC-klagomål.docx", "A 51541-2020")</f>
        <v/>
      </c>
      <c r="W6">
        <f>HYPERLINK("https://klasma.github.io/Logging_1443/klagomålsmail/A 51541-2020 FSC-klagomål mail.docx", "A 51541-2020")</f>
        <v/>
      </c>
      <c r="X6">
        <f>HYPERLINK("https://klasma.github.io/Logging_1443/tillsyn/A 51541-2020 tillsynsbegäran.docx", "A 51541-2020")</f>
        <v/>
      </c>
      <c r="Y6">
        <f>HYPERLINK("https://klasma.github.io/Logging_1443/tillsynsmail/A 51541-2020 tillsynsbegäran mail.docx", "A 51541-2020")</f>
        <v/>
      </c>
    </row>
    <row r="7" ht="15" customHeight="1">
      <c r="A7" t="inlineStr">
        <is>
          <t>A 65581-2020</t>
        </is>
      </c>
      <c r="B7" s="1" t="n">
        <v>44173</v>
      </c>
      <c r="C7" s="1" t="n">
        <v>45709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1.6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HYPERLINK("https://klasma.github.io/Logging_1443/artfynd/A 65581-2020 artfynd.xlsx", "A 65581-2020")</f>
        <v/>
      </c>
      <c r="T7">
        <f>HYPERLINK("https://klasma.github.io/Logging_1443/kartor/A 65581-2020 karta.png", "A 65581-2020")</f>
        <v/>
      </c>
      <c r="U7">
        <f>HYPERLINK("https://klasma.github.io/Logging_1443/knärot/A 65581-2020 karta knärot.png", "A 65581-2020")</f>
        <v/>
      </c>
      <c r="V7">
        <f>HYPERLINK("https://klasma.github.io/Logging_1443/klagomål/A 65581-2020 FSC-klagomål.docx", "A 65581-2020")</f>
        <v/>
      </c>
      <c r="W7">
        <f>HYPERLINK("https://klasma.github.io/Logging_1443/klagomålsmail/A 65581-2020 FSC-klagomål mail.docx", "A 65581-2020")</f>
        <v/>
      </c>
      <c r="X7">
        <f>HYPERLINK("https://klasma.github.io/Logging_1443/tillsyn/A 65581-2020 tillsynsbegäran.docx", "A 65581-2020")</f>
        <v/>
      </c>
      <c r="Y7">
        <f>HYPERLINK("https://klasma.github.io/Logging_1443/tillsynsmail/A 65581-2020 tillsynsbegäran mail.docx", "A 65581-2020")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45709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45709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30777-2023</t>
        </is>
      </c>
      <c r="B10" s="1" t="n">
        <v>45112</v>
      </c>
      <c r="C10" s="1" t="n">
        <v>45709</v>
      </c>
      <c r="D10" t="inlineStr">
        <is>
          <t>VÄSTRA GÖTALANDS LÄN</t>
        </is>
      </c>
      <c r="E10" t="inlineStr">
        <is>
          <t>BOLLEBYGD</t>
        </is>
      </c>
      <c r="G10" t="n">
        <v>6.2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HYPERLINK("https://klasma.github.io/Logging_1443/artfynd/A 30777-2023 artfynd.xlsx", "A 30777-2023")</f>
        <v/>
      </c>
      <c r="T10">
        <f>HYPERLINK("https://klasma.github.io/Logging_1443/kartor/A 30777-2023 karta.png", "A 30777-2023")</f>
        <v/>
      </c>
      <c r="V10">
        <f>HYPERLINK("https://klasma.github.io/Logging_1443/klagomål/A 30777-2023 FSC-klagomål.docx", "A 30777-2023")</f>
        <v/>
      </c>
      <c r="W10">
        <f>HYPERLINK("https://klasma.github.io/Logging_1443/klagomålsmail/A 30777-2023 FSC-klagomål mail.docx", "A 30777-2023")</f>
        <v/>
      </c>
      <c r="X10">
        <f>HYPERLINK("https://klasma.github.io/Logging_1443/tillsyn/A 30777-2023 tillsynsbegäran.docx", "A 30777-2023")</f>
        <v/>
      </c>
      <c r="Y10">
        <f>HYPERLINK("https://klasma.github.io/Logging_1443/tillsynsmail/A 30777-2023 tillsynsbegäran mail.docx", "A 30777-2023")</f>
        <v/>
      </c>
    </row>
    <row r="11" ht="15" customHeight="1">
      <c r="A11" t="inlineStr">
        <is>
          <t>A 30785-2023</t>
        </is>
      </c>
      <c r="B11" s="1" t="n">
        <v>45112</v>
      </c>
      <c r="C11" s="1" t="n">
        <v>45709</v>
      </c>
      <c r="D11" t="inlineStr">
        <is>
          <t>VÄSTRA GÖTALANDS LÄN</t>
        </is>
      </c>
      <c r="E11" t="inlineStr">
        <is>
          <t>BOLLEBYGD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30785-2023 artfynd.xlsx", "A 30785-2023")</f>
        <v/>
      </c>
      <c r="T11">
        <f>HYPERLINK("https://klasma.github.io/Logging_1443/kartor/A 30785-2023 karta.png", "A 30785-2023")</f>
        <v/>
      </c>
      <c r="V11">
        <f>HYPERLINK("https://klasma.github.io/Logging_1443/klagomål/A 30785-2023 FSC-klagomål.docx", "A 30785-2023")</f>
        <v/>
      </c>
      <c r="W11">
        <f>HYPERLINK("https://klasma.github.io/Logging_1443/klagomålsmail/A 30785-2023 FSC-klagomål mail.docx", "A 30785-2023")</f>
        <v/>
      </c>
      <c r="X11">
        <f>HYPERLINK("https://klasma.github.io/Logging_1443/tillsyn/A 30785-2023 tillsynsbegäran.docx", "A 30785-2023")</f>
        <v/>
      </c>
      <c r="Y11">
        <f>HYPERLINK("https://klasma.github.io/Logging_1443/tillsynsmail/A 30785-2023 tillsynsbegäran mail.docx", "A 30785-2023")</f>
        <v/>
      </c>
    </row>
    <row r="12" ht="15" customHeight="1">
      <c r="A12" t="inlineStr">
        <is>
          <t>A 31742-2023</t>
        </is>
      </c>
      <c r="B12" s="1" t="n">
        <v>45117</v>
      </c>
      <c r="C12" s="1" t="n">
        <v>45709</v>
      </c>
      <c r="D12" t="inlineStr">
        <is>
          <t>VÄSTRA GÖTALANDS LÄN</t>
        </is>
      </c>
      <c r="E12" t="inlineStr">
        <is>
          <t>BOLLEBYGD</t>
        </is>
      </c>
      <c r="G12" t="n">
        <v>2.9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HYPERLINK("https://klasma.github.io/Logging_1443/artfynd/A 31742-2023 artfynd.xlsx", "A 31742-2023")</f>
        <v/>
      </c>
      <c r="T12">
        <f>HYPERLINK("https://klasma.github.io/Logging_1443/kartor/A 31742-2023 karta.png", "A 31742-2023")</f>
        <v/>
      </c>
      <c r="V12">
        <f>HYPERLINK("https://klasma.github.io/Logging_1443/klagomål/A 31742-2023 FSC-klagomål.docx", "A 31742-2023")</f>
        <v/>
      </c>
      <c r="W12">
        <f>HYPERLINK("https://klasma.github.io/Logging_1443/klagomålsmail/A 31742-2023 FSC-klagomål mail.docx", "A 31742-2023")</f>
        <v/>
      </c>
      <c r="X12">
        <f>HYPERLINK("https://klasma.github.io/Logging_1443/tillsyn/A 31742-2023 tillsynsbegäran.docx", "A 31742-2023")</f>
        <v/>
      </c>
      <c r="Y12">
        <f>HYPERLINK("https://klasma.github.io/Logging_1443/tillsynsmail/A 31742-2023 tillsynsbegäran mail.docx", "A 31742-2023")</f>
        <v/>
      </c>
      <c r="Z12">
        <f>HYPERLINK("https://klasma.github.io/Logging_1443/fåglar/A 31742-2023 prioriterade fågelarter.docx", "A 31742-2023")</f>
        <v/>
      </c>
    </row>
    <row r="13" ht="15" customHeight="1">
      <c r="A13" t="inlineStr">
        <is>
          <t>A 13739-2024</t>
        </is>
      </c>
      <c r="B13" s="1" t="n">
        <v>45390</v>
      </c>
      <c r="C13" s="1" t="n">
        <v>45709</v>
      </c>
      <c r="D13" t="inlineStr">
        <is>
          <t>VÄSTRA GÖTALANDS LÄN</t>
        </is>
      </c>
      <c r="E13" t="inlineStr">
        <is>
          <t>BOLLEBYGD</t>
        </is>
      </c>
      <c r="F13" t="inlineStr">
        <is>
          <t>Kommuner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HYPERLINK("https://klasma.github.io/Logging_1443/artfynd/A 13739-2024 artfynd.xlsx", "A 13739-2024")</f>
        <v/>
      </c>
      <c r="T13">
        <f>HYPERLINK("https://klasma.github.io/Logging_1443/kartor/A 13739-2024 karta.png", "A 13739-2024")</f>
        <v/>
      </c>
      <c r="V13">
        <f>HYPERLINK("https://klasma.github.io/Logging_1443/klagomål/A 13739-2024 FSC-klagomål.docx", "A 13739-2024")</f>
        <v/>
      </c>
      <c r="W13">
        <f>HYPERLINK("https://klasma.github.io/Logging_1443/klagomålsmail/A 13739-2024 FSC-klagomål mail.docx", "A 13739-2024")</f>
        <v/>
      </c>
      <c r="X13">
        <f>HYPERLINK("https://klasma.github.io/Logging_1443/tillsyn/A 13739-2024 tillsynsbegäran.docx", "A 13739-2024")</f>
        <v/>
      </c>
      <c r="Y13">
        <f>HYPERLINK("https://klasma.github.io/Logging_1443/tillsynsmail/A 13739-2024 tillsynsbegäran mail.docx", "A 13739-2024")</f>
        <v/>
      </c>
    </row>
    <row r="14" ht="15" customHeight="1">
      <c r="A14" t="inlineStr">
        <is>
          <t>A 13740-2024</t>
        </is>
      </c>
      <c r="B14" s="1" t="n">
        <v>45390</v>
      </c>
      <c r="C14" s="1" t="n">
        <v>45709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HYPERLINK("https://klasma.github.io/Logging_1443/artfynd/A 13740-2024 artfynd.xlsx", "A 13740-2024")</f>
        <v/>
      </c>
      <c r="T14">
        <f>HYPERLINK("https://klasma.github.io/Logging_1443/kartor/A 13740-2024 karta.png", "A 13740-2024")</f>
        <v/>
      </c>
      <c r="V14">
        <f>HYPERLINK("https://klasma.github.io/Logging_1443/klagomål/A 13740-2024 FSC-klagomål.docx", "A 13740-2024")</f>
        <v/>
      </c>
      <c r="W14">
        <f>HYPERLINK("https://klasma.github.io/Logging_1443/klagomålsmail/A 13740-2024 FSC-klagomål mail.docx", "A 13740-2024")</f>
        <v/>
      </c>
      <c r="X14">
        <f>HYPERLINK("https://klasma.github.io/Logging_1443/tillsyn/A 13740-2024 tillsynsbegäran.docx", "A 13740-2024")</f>
        <v/>
      </c>
      <c r="Y14">
        <f>HYPERLINK("https://klasma.github.io/Logging_1443/tillsynsmail/A 13740-2024 tillsynsbegäran mail.docx", "A 13740-2024")</f>
        <v/>
      </c>
      <c r="Z14">
        <f>HYPERLINK("https://klasma.github.io/Logging_1443/fåglar/A 13740-2024 prioriterade fågelarter.docx", "A 13740-2024")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45709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45709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45709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45709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45709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45709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45709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45709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45709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45709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45709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45709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45709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45709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45709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45709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45709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45709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45709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45709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45709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45709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45709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45709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45709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45709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45709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45709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45709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45709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45709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45709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45709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45709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45709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45709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45709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45709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45709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45709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45709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45709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45709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45709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45709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45709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45709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45709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45709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45709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45709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45709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45709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45709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45709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45709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45709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45709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45709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45709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45709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45709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45709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45709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45709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45709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45709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45709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45709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45709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45709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45709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45709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45709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45709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45709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45709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45709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45709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45709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45709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45709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45709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45709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45709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45709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45709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45709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45709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45709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45709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45709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45709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45709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45709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45709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45709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45709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45709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45709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45709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45709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45709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45709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45709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45709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45709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45709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45709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45709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45709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45709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45709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45709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45709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45709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45709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45709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45709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45709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45709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45709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45709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45709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45709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45709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45709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45709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45709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45709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45709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45709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45709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45709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45709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45709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45709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45709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45709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45709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45709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45709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45709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45709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45709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45709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45709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45709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45709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45709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45709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45709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45709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45709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45709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45709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45709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45709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45709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45709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45709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45709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45709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45709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45709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45709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45709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45709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45709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45709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45709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45709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45709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45709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45709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45709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45709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45709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45709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45709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45709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45709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45709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45709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45709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45709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45709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45709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45709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45709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45709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45709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45709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45709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45709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45709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45709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45709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45709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45709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45709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45709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45709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45709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45709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45709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45709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45709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45709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45709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45709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45709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45709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45709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45709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45709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45709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45709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45709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45709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45709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45709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45709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45709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45709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45709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45709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45709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45709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45709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45709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45709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45709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45709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45709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45709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45709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45709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45709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45709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45709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45709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45709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45709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45709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45709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45709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45709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45709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45709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45709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45709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45709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45709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45709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45709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45709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45709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45709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45709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45709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45709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45709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45709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45709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45709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45709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45709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45709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45709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45709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45709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45709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45709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45709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45709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45709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45709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45709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45709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45709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45709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45709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45709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45709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45709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45709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45709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45709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45709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45709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45709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45709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45709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45709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45709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45709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45709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45709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45709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45709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45709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45709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45709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45709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45709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45709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45709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45709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45709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45709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45709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45709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45709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45709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45709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45709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45709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45709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45709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45709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45709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45709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45709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45709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45709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45709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45709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45709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45709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45709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45709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45709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45709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45709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45709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45709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45709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45709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45709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45709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45709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45709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45709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45709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45709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45709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45709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45709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45709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45709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45709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45709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45709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45709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45709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45709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45709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45709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45709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45709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45709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45709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45709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45709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45709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45709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45709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45709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45709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45709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45709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45709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45709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45709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45709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>
      <c r="A391" t="inlineStr">
        <is>
          <t>A 7340-2025</t>
        </is>
      </c>
      <c r="B391" s="1" t="n">
        <v>45703</v>
      </c>
      <c r="C391" s="1" t="n">
        <v>45709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2025-02-21T17:02:49Z</dcterms:created>
  <dcterms:modified xmlns:dcterms="http://purl.org/dc/terms/" xmlns:xsi="http://www.w3.org/2001/XMLSchema-instance" xsi:type="dcterms:W3CDTF">2025-02-21T17:02:50Z</dcterms:modified>
</cp:coreProperties>
</file>