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59493-2025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45989</v>
      </c>
      <c r="E2" s="1" t="n">
        <v>46281</v>
      </c>
      <c r="F2" t="inlineStr">
        <is>
          <t>VÄSTRA GÖTALANDS LÄN</t>
        </is>
      </c>
      <c r="G2" t="inlineStr">
        <is>
          <t>BOLLEBYGD</t>
        </is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11</v>
      </c>
      <c r="U2" t="n">
        <v>11</v>
      </c>
      <c r="V2" s="2" t="inlineStr">
        <is>
          <t>Talltita
Blåmossa
Västlig hakmossa
Tjäder
Tofsmes
Åkergroda
Kopparödla</t>
        </is>
      </c>
      <c r="W2">
        <f>HYPERLINK("https://klasma.github.io/Logging_1443/artfynd/A 59493-2025 artfynd.xlsx", "A 59493-2025")</f>
        <v/>
      </c>
      <c r="X2">
        <f>HYPERLINK("https://klasma.github.io/Logging_1443/kartor/A 59493-2025 karta.png", "A 59493-2025")</f>
        <v/>
      </c>
      <c r="Y2">
        <f>HYPERLINK("https://klasma.github.io/Logging_1443/kartor_geotiff/A 59493-2025 georefererad karta.tif", "A 59493-2025")</f>
        <v/>
      </c>
      <c r="AA2">
        <f>HYPERLINK("https://klasma.github.io/Logging_1443/klagomål/A 59493-2025 FSC-klagomål.docx", "A 59493-2025")</f>
        <v/>
      </c>
      <c r="AB2">
        <f>HYPERLINK("https://klasma.github.io/Logging_1443/klagomålsmail/A 59493-2025 FSC-klagomål mail.docx", "A 59493-2025")</f>
        <v/>
      </c>
      <c r="AC2">
        <f>HYPERLINK("https://klasma.github.io/Logging_1443/tillsyn/A 59493-2025 tillsynsbegäran.docx", "A 59493-2025")</f>
        <v/>
      </c>
      <c r="AD2">
        <f>HYPERLINK("https://klasma.github.io/Logging_1443/tillsynsmail/A 59493-2025 tillsynsbegäran mail.docx", "A 59493-2025")</f>
        <v/>
      </c>
      <c r="AE2">
        <f>HYPERLINK("https://klasma.github.io/Logging_1443/fåglar/A 59493-2025 prioriterade fågelarter.docx", "A 59493-2025")</f>
        <v/>
      </c>
    </row>
    <row r="3" ht="15" customHeight="1">
      <c r="A3" t="inlineStr">
        <is>
          <t>A 52087-2025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45952</v>
      </c>
      <c r="E3" s="1" t="n">
        <v>46281</v>
      </c>
      <c r="F3" t="inlineStr">
        <is>
          <t>VÄSTRA GÖTALANDS LÄN</t>
        </is>
      </c>
      <c r="G3" t="inlineStr">
        <is>
          <t>BOLLEBYGD</t>
        </is>
      </c>
      <c r="I3" t="n">
        <v>10.6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7</v>
      </c>
      <c r="T3" t="n">
        <v>27</v>
      </c>
      <c r="U3" t="n">
        <v>27</v>
      </c>
      <c r="V3" s="2" t="inlineStr">
        <is>
          <t>Blåmossa
Kornknutmossa
Stor revmossa
Västlig hakmossa
Tjäder
Sångsvan
Revlummer</t>
        </is>
      </c>
      <c r="W3">
        <f>HYPERLINK("https://klasma.github.io/Logging_1443/artfynd/A 52087-2025 artfynd.xlsx", "A 52087-2025")</f>
        <v/>
      </c>
      <c r="X3">
        <f>HYPERLINK("https://klasma.github.io/Logging_1443/kartor/A 52087-2025 karta.png", "A 52087-2025")</f>
        <v/>
      </c>
      <c r="Y3">
        <f>HYPERLINK("https://klasma.github.io/Logging_1443/kartor_geotiff/A 52087-2025 georefererad karta.tif", "A 52087-2025")</f>
        <v/>
      </c>
      <c r="AA3">
        <f>HYPERLINK("https://klasma.github.io/Logging_1443/klagomål/A 52087-2025 FSC-klagomål.docx", "A 52087-2025")</f>
        <v/>
      </c>
      <c r="AB3">
        <f>HYPERLINK("https://klasma.github.io/Logging_1443/klagomålsmail/A 52087-2025 FSC-klagomål mail.docx", "A 52087-2025")</f>
        <v/>
      </c>
      <c r="AC3">
        <f>HYPERLINK("https://klasma.github.io/Logging_1443/tillsyn/A 52087-2025 tillsynsbegäran.docx", "A 52087-2025")</f>
        <v/>
      </c>
      <c r="AD3">
        <f>HYPERLINK("https://klasma.github.io/Logging_1443/tillsynsmail/A 52087-2025 tillsynsbegäran mail.docx", "A 52087-2025")</f>
        <v/>
      </c>
      <c r="AE3">
        <f>HYPERLINK("https://klasma.github.io/Logging_1443/fåglar/A 52087-2025 prioriterade fågelarter.docx", "A 52087-2025")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46281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46281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46281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46281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46281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46281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46281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30671-2023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46281</v>
      </c>
      <c r="F12" t="inlineStr">
        <is>
          <t>VÄSTRA GÖTALANDS LÄN</t>
        </is>
      </c>
      <c r="G12" t="inlineStr">
        <is>
          <t>BOLLEBYGD</t>
        </is>
      </c>
      <c r="I12" t="n">
        <v>4.9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12</v>
      </c>
      <c r="U12" t="n">
        <v>10</v>
      </c>
      <c r="V12" s="2" t="inlineStr">
        <is>
          <t>Knärot
Järnsparv
Spillkråka</t>
        </is>
      </c>
      <c r="W12">
        <f>HYPERLINK("https://klasma.github.io/Logging_1443/artfynd/A 30671-2023 artfynd.xlsx", "A 30671-2023")</f>
        <v/>
      </c>
      <c r="X12">
        <f>HYPERLINK("https://klasma.github.io/Logging_1443/kartor/A 30671-2023 karta.png", "A 30671-2023")</f>
        <v/>
      </c>
      <c r="Y12">
        <f>HYPERLINK("https://klasma.github.io/Logging_1443/kartor_geotiff/A 30671-2023 georefererad karta.tif", "A 30671-2023")</f>
        <v/>
      </c>
      <c r="Z12">
        <f>HYPERLINK("https://klasma.github.io/Logging_1443/knärot/A 30671-2023 karta knärot.png", "A 30671-2023")</f>
        <v/>
      </c>
      <c r="AA12">
        <f>HYPERLINK("https://klasma.github.io/Logging_1443/klagomål/A 30671-2023 FSC-klagomål.docx", "A 30671-2023")</f>
        <v/>
      </c>
      <c r="AB12">
        <f>HYPERLINK("https://klasma.github.io/Logging_1443/klagomålsmail/A 30671-2023 FSC-klagomål mail.docx", "A 30671-2023")</f>
        <v/>
      </c>
      <c r="AC12">
        <f>HYPERLINK("https://klasma.github.io/Logging_1443/tillsyn/A 30671-2023 tillsynsbegäran.docx", "A 30671-2023")</f>
        <v/>
      </c>
      <c r="AD12">
        <f>HYPERLINK("https://klasma.github.io/Logging_1443/tillsynsmail/A 30671-2023 tillsynsbegäran mail.docx", "A 30671-2023")</f>
        <v/>
      </c>
      <c r="AE12">
        <f>HYPERLINK("https://klasma.github.io/Logging_1443/fåglar/A 30671-2023 prioriterade fågelarter.docx", "A 30671-2023")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46281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46281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46281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46281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46281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46281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30666-2023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46281</v>
      </c>
      <c r="F19" t="inlineStr">
        <is>
          <t>VÄSTRA GÖTALANDS LÄN</t>
        </is>
      </c>
      <c r="G19" t="inlineStr">
        <is>
          <t>BOLLEBYGD</t>
        </is>
      </c>
      <c r="I19" t="n">
        <v>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Talltita
Tjäder</t>
        </is>
      </c>
      <c r="W19">
        <f>HYPERLINK("https://klasma.github.io/Logging_1443/artfynd/A 30666-2023 artfynd.xlsx", "A 30666-2023")</f>
        <v/>
      </c>
      <c r="X19">
        <f>HYPERLINK("https://klasma.github.io/Logging_1443/kartor/A 30666-2023 karta.png", "A 30666-2023")</f>
        <v/>
      </c>
      <c r="Y19">
        <f>HYPERLINK("https://klasma.github.io/Logging_1443/kartor_geotiff/A 30666-2023 georefererad karta.tif", "A 30666-2023")</f>
        <v/>
      </c>
      <c r="AA19">
        <f>HYPERLINK("https://klasma.github.io/Logging_1443/klagomål/A 30666-2023 FSC-klagomål.docx", "A 30666-2023")</f>
        <v/>
      </c>
      <c r="AB19">
        <f>HYPERLINK("https://klasma.github.io/Logging_1443/klagomålsmail/A 30666-2023 FSC-klagomål mail.docx", "A 30666-2023")</f>
        <v/>
      </c>
      <c r="AC19">
        <f>HYPERLINK("https://klasma.github.io/Logging_1443/tillsyn/A 30666-2023 tillsynsbegäran.docx", "A 30666-2023")</f>
        <v/>
      </c>
      <c r="AD19">
        <f>HYPERLINK("https://klasma.github.io/Logging_1443/tillsynsmail/A 30666-2023 tillsynsbegäran mail.docx", "A 30666-2023")</f>
        <v/>
      </c>
      <c r="AE19">
        <f>HYPERLINK("https://klasma.github.io/Logging_1443/fåglar/A 30666-2023 prioriterade fågelarter.docx", "A 30666-2023")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46281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46281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18822-2026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46281</v>
      </c>
      <c r="F22" t="inlineStr">
        <is>
          <t>VÄSTRA GÖTALANDS LÄN</t>
        </is>
      </c>
      <c r="G22" t="inlineStr">
        <is>
          <t>BOLLEBYGD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HYPERLINK("https://klasma.github.io/Logging_1443/artfynd/A 18822-2026 artfynd.xlsx", "A 18822-2026")</f>
        <v/>
      </c>
      <c r="X22">
        <f>HYPERLINK("https://klasma.github.io/Logging_1443/kartor/A 18822-2026 karta.png", "A 18822-2026")</f>
        <v/>
      </c>
      <c r="Y22">
        <f>HYPERLINK("https://klasma.github.io/Logging_1443/kartor_geotiff/A 18822-2026 georefererad karta.tif", "A 18822-2026")</f>
        <v/>
      </c>
      <c r="AA22">
        <f>HYPERLINK("https://klasma.github.io/Logging_1443/klagomål/A 18822-2026 FSC-klagomål.docx", "A 18822-2026")</f>
        <v/>
      </c>
      <c r="AB22">
        <f>HYPERLINK("https://klasma.github.io/Logging_1443/klagomålsmail/A 18822-2026 FSC-klagomål mail.docx", "A 18822-2026")</f>
        <v/>
      </c>
      <c r="AC22">
        <f>HYPERLINK("https://klasma.github.io/Logging_1443/tillsyn/A 18822-2026 tillsynsbegäran.docx", "A 18822-2026")</f>
        <v/>
      </c>
      <c r="AD22">
        <f>HYPERLINK("https://klasma.github.io/Logging_1443/tillsynsmail/A 18822-2026 tillsynsbegäran mail.docx", "A 18822-2026")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46281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46281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31742-2023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46281</v>
      </c>
      <c r="F25" t="inlineStr">
        <is>
          <t>VÄSTRA GÖTALANDS LÄN</t>
        </is>
      </c>
      <c r="G25" t="inlineStr">
        <is>
          <t>BOLLEBYGD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Spillkråka</t>
        </is>
      </c>
      <c r="W25">
        <f>HYPERLINK("https://klasma.github.io/Logging_1443/artfynd/A 31742-2023 artfynd.xlsx", "A 31742-2023")</f>
        <v/>
      </c>
      <c r="X25">
        <f>HYPERLINK("https://klasma.github.io/Logging_1443/kartor/A 31742-2023 karta.png", "A 31742-2023")</f>
        <v/>
      </c>
      <c r="Y25">
        <f>HYPERLINK("https://klasma.github.io/Logging_1443/kartor_geotiff/A 31742-2023 georefererad karta.tif", "A 31742-2023")</f>
        <v/>
      </c>
      <c r="AA25">
        <f>HYPERLINK("https://klasma.github.io/Logging_1443/klagomål/A 31742-2023 FSC-klagomål.docx", "A 31742-2023")</f>
        <v/>
      </c>
      <c r="AB25">
        <f>HYPERLINK("https://klasma.github.io/Logging_1443/klagomålsmail/A 31742-2023 FSC-klagomål mail.docx", "A 31742-2023")</f>
        <v/>
      </c>
      <c r="AC25">
        <f>HYPERLINK("https://klasma.github.io/Logging_1443/tillsyn/A 31742-2023 tillsynsbegäran.docx", "A 31742-2023")</f>
        <v/>
      </c>
      <c r="AD25">
        <f>HYPERLINK("https://klasma.github.io/Logging_1443/tillsynsmail/A 31742-2023 tillsynsbegäran mail.docx", "A 31742-2023")</f>
        <v/>
      </c>
      <c r="AE25">
        <f>HYPERLINK("https://klasma.github.io/Logging_1443/fåglar/A 31742-2023 prioriterade fågelarter.docx", "A 31742-2023")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46281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46281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46281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46281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46281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32503-2025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46281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Fällmossa</t>
        </is>
      </c>
      <c r="W31">
        <f>HYPERLINK("https://klasma.github.io/Logging_1443/artfynd/A 32503-2025 artfynd.xlsx", "A 32503-2025")</f>
        <v/>
      </c>
      <c r="X31">
        <f>HYPERLINK("https://klasma.github.io/Logging_1443/kartor/A 32503-2025 karta.png", "A 32503-2025")</f>
        <v/>
      </c>
      <c r="Y31">
        <f>HYPERLINK("https://klasma.github.io/Logging_1443/kartor_geotiff/A 32503-2025 georefererad karta.tif", "A 32503-2025")</f>
        <v/>
      </c>
      <c r="AA31">
        <f>HYPERLINK("https://klasma.github.io/Logging_1443/klagomål/A 32503-2025 FSC-klagomål.docx", "A 32503-2025")</f>
        <v/>
      </c>
      <c r="AB31">
        <f>HYPERLINK("https://klasma.github.io/Logging_1443/klagomålsmail/A 32503-2025 FSC-klagomål mail.docx", "A 32503-2025")</f>
        <v/>
      </c>
      <c r="AC31">
        <f>HYPERLINK("https://klasma.github.io/Logging_1443/tillsyn/A 32503-2025 tillsynsbegäran.docx", "A 32503-2025")</f>
        <v/>
      </c>
      <c r="AD31">
        <f>HYPERLINK("https://klasma.github.io/Logging_1443/tillsynsmail/A 32503-2025 tillsynsbegäran mail.docx", "A 32503-2025")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46281</v>
      </c>
      <c r="F39" t="inlineStr">
        <is>
          <t>VÄSTRA GÖTALANDS LÄN</t>
        </is>
      </c>
      <c r="G39" t="inlineStr">
        <is>
          <t>BOLLEBYGD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44754</v>
      </c>
      <c r="E40" s="1" t="n">
        <v>46281</v>
      </c>
      <c r="F40" t="inlineStr">
        <is>
          <t>VÄSTRA GÖTALANDS LÄN</t>
        </is>
      </c>
      <c r="G40" t="inlineStr">
        <is>
          <t>BOLLEBYGD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46281</v>
      </c>
      <c r="F41" t="inlineStr">
        <is>
          <t>VÄSTRA GÖTALANDS LÄN</t>
        </is>
      </c>
      <c r="G41" t="inlineStr">
        <is>
          <t>BOLLEBYGD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69413-2021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44531</v>
      </c>
      <c r="E42" s="1" t="n">
        <v>46281</v>
      </c>
      <c r="F42" t="inlineStr">
        <is>
          <t>VÄSTRA GÖTALANDS LÄN</t>
        </is>
      </c>
      <c r="G42" t="inlineStr">
        <is>
          <t>BOLLEBYGD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46281</v>
      </c>
      <c r="F43" t="inlineStr">
        <is>
          <t>VÄSTRA GÖTALANDS LÄN</t>
        </is>
      </c>
      <c r="G43" t="inlineStr">
        <is>
          <t>BOLLEBYGD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36650-2025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45872</v>
      </c>
      <c r="E44" s="1" t="n">
        <v>46281</v>
      </c>
      <c r="F44" t="inlineStr">
        <is>
          <t>VÄSTRA GÖTALANDS LÄN</t>
        </is>
      </c>
      <c r="G44" t="inlineStr">
        <is>
          <t>BOLLEBYGD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46281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12160-2024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45377</v>
      </c>
      <c r="E46" s="1" t="n">
        <v>46281</v>
      </c>
      <c r="F46" t="inlineStr">
        <is>
          <t>VÄSTRA GÖTALANDS LÄN</t>
        </is>
      </c>
      <c r="G46" t="inlineStr">
        <is>
          <t>BOLLEBYGD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45254</v>
      </c>
      <c r="E47" s="1" t="n">
        <v>46281</v>
      </c>
      <c r="F47" t="inlineStr">
        <is>
          <t>VÄSTRA GÖTALANDS LÄN</t>
        </is>
      </c>
      <c r="G47" t="inlineStr">
        <is>
          <t>BOLLEBYGD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31546-2022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44775</v>
      </c>
      <c r="E48" s="1" t="n">
        <v>46281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61318-2023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46281</v>
      </c>
      <c r="F49" t="inlineStr">
        <is>
          <t>VÄSTRA GÖTALANDS LÄN</t>
        </is>
      </c>
      <c r="G49" t="inlineStr">
        <is>
          <t>BOLLEBYGD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44914</v>
      </c>
      <c r="E50" s="1" t="n">
        <v>46281</v>
      </c>
      <c r="F50" t="inlineStr">
        <is>
          <t>VÄSTRA GÖTALANDS LÄN</t>
        </is>
      </c>
      <c r="G50" t="inlineStr">
        <is>
          <t>BOLLEBYGD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46281</v>
      </c>
      <c r="F51" t="inlineStr">
        <is>
          <t>VÄSTRA GÖTALANDS LÄN</t>
        </is>
      </c>
      <c r="G51" t="inlineStr">
        <is>
          <t>BOLLEBYGD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25928-2023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45090</v>
      </c>
      <c r="E52" s="1" t="n">
        <v>46281</v>
      </c>
      <c r="F52" t="inlineStr">
        <is>
          <t>VÄSTRA GÖTALANDS LÄN</t>
        </is>
      </c>
      <c r="G52" t="inlineStr">
        <is>
          <t>BOLLEBYGD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46281</v>
      </c>
      <c r="F53" t="inlineStr">
        <is>
          <t>VÄSTRA GÖTALANDS LÄN</t>
        </is>
      </c>
      <c r="G53" t="inlineStr">
        <is>
          <t>BOLLEBYGD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46281</v>
      </c>
      <c r="F54" t="inlineStr">
        <is>
          <t>VÄSTRA GÖTALANDS LÄN</t>
        </is>
      </c>
      <c r="G54" t="inlineStr">
        <is>
          <t>BOLLEBYGD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46281</v>
      </c>
      <c r="F55" t="inlineStr">
        <is>
          <t>VÄSTRA GÖTALANDS LÄN</t>
        </is>
      </c>
      <c r="G55" t="inlineStr">
        <is>
          <t>BOLLEBYGD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46281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46281</v>
      </c>
      <c r="F57" t="inlineStr">
        <is>
          <t>VÄSTRA GÖTALANDS LÄN</t>
        </is>
      </c>
      <c r="G57" t="inlineStr">
        <is>
          <t>BOLLEBYGD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45476</v>
      </c>
      <c r="E58" s="1" t="n">
        <v>46281</v>
      </c>
      <c r="F58" t="inlineStr">
        <is>
          <t>VÄSTRA GÖTALANDS LÄN</t>
        </is>
      </c>
      <c r="G58" t="inlineStr">
        <is>
          <t>BOLLEBYGD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46281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46281</v>
      </c>
      <c r="F60" t="inlineStr">
        <is>
          <t>VÄSTRA GÖTALANDS LÄN</t>
        </is>
      </c>
      <c r="G60" t="inlineStr">
        <is>
          <t>BOLLEBYGD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46084</v>
      </c>
      <c r="E61" s="1" t="n">
        <v>46281</v>
      </c>
      <c r="F61" t="inlineStr">
        <is>
          <t>VÄSTRA GÖTALANDS LÄN</t>
        </is>
      </c>
      <c r="G61" t="inlineStr">
        <is>
          <t>BOLLEBYGD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46281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44946</v>
      </c>
      <c r="E63" s="1" t="n">
        <v>46281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46090</v>
      </c>
      <c r="E64" s="1" t="n">
        <v>46281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46281</v>
      </c>
      <c r="F65" t="inlineStr">
        <is>
          <t>VÄSTRA GÖTALANDS LÄN</t>
        </is>
      </c>
      <c r="G65" t="inlineStr">
        <is>
          <t>BOLLEBYGD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46281</v>
      </c>
      <c r="F66" t="inlineStr">
        <is>
          <t>VÄSTRA GÖTALANDS LÄN</t>
        </is>
      </c>
      <c r="G66" t="inlineStr">
        <is>
          <t>BOLLEBYGD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13120-2026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46281</v>
      </c>
      <c r="F67" t="inlineStr">
        <is>
          <t>VÄSTRA GÖTALANDS LÄN</t>
        </is>
      </c>
      <c r="G67" t="inlineStr">
        <is>
          <t>BOLLEBYGD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46281</v>
      </c>
      <c r="F68" t="inlineStr">
        <is>
          <t>VÄSTRA GÖTALANDS LÄN</t>
        </is>
      </c>
      <c r="G68" t="inlineStr">
        <is>
          <t>BOLLEBYGD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12879-2026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46092</v>
      </c>
      <c r="E69" s="1" t="n">
        <v>46281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Sveaskog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46281</v>
      </c>
      <c r="F70" t="inlineStr">
        <is>
          <t>VÄSTRA GÖTALANDS LÄN</t>
        </is>
      </c>
      <c r="G70" t="inlineStr">
        <is>
          <t>BOLLEBYGD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70708-2021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44537</v>
      </c>
      <c r="E71" s="1" t="n">
        <v>46281</v>
      </c>
      <c r="F71" t="inlineStr">
        <is>
          <t>VÄSTRA GÖTALANDS LÄN</t>
        </is>
      </c>
      <c r="G71" t="inlineStr">
        <is>
          <t>BOLLEBYGD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46281</v>
      </c>
      <c r="F72" t="inlineStr">
        <is>
          <t>VÄSTRA GÖTALANDS LÄN</t>
        </is>
      </c>
      <c r="G72" t="inlineStr">
        <is>
          <t>BOLLEBYGD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45621</v>
      </c>
      <c r="E73" s="1" t="n">
        <v>46281</v>
      </c>
      <c r="F73" t="inlineStr">
        <is>
          <t>VÄSTRA GÖTALANDS LÄN</t>
        </is>
      </c>
      <c r="G73" t="inlineStr">
        <is>
          <t>BOLLEBYGD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46281</v>
      </c>
      <c r="F74" t="inlineStr">
        <is>
          <t>VÄSTRA GÖTALANDS LÄN</t>
        </is>
      </c>
      <c r="G74" t="inlineStr">
        <is>
          <t>BOLLEBYGD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46099</v>
      </c>
      <c r="E75" s="1" t="n">
        <v>46281</v>
      </c>
      <c r="F75" t="inlineStr">
        <is>
          <t>VÄSTRA GÖTALANDS LÄN</t>
        </is>
      </c>
      <c r="G75" t="inlineStr">
        <is>
          <t>BOLLEBYGD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14545-2026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46100</v>
      </c>
      <c r="E76" s="1" t="n">
        <v>46281</v>
      </c>
      <c r="F76" t="inlineStr">
        <is>
          <t>VÄSTRA GÖTALANDS LÄN</t>
        </is>
      </c>
      <c r="G76" t="inlineStr">
        <is>
          <t>BOLLEBYGD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46281</v>
      </c>
      <c r="F77" t="inlineStr">
        <is>
          <t>VÄSTRA GÖTALANDS LÄN</t>
        </is>
      </c>
      <c r="G77" t="inlineStr">
        <is>
          <t>BOLLEBYGD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30633-2023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46281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46281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46281</v>
      </c>
      <c r="F80" t="inlineStr">
        <is>
          <t>VÄSTRA GÖTALANDS LÄN</t>
        </is>
      </c>
      <c r="G80" t="inlineStr">
        <is>
          <t>BOLLEBYGD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23330-2024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45453</v>
      </c>
      <c r="E81" s="1" t="n">
        <v>46281</v>
      </c>
      <c r="F81" t="inlineStr">
        <is>
          <t>VÄSTRA GÖTALANDS LÄN</t>
        </is>
      </c>
      <c r="G81" t="inlineStr">
        <is>
          <t>BOLLEBYGD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45629</v>
      </c>
      <c r="E82" s="1" t="n">
        <v>46281</v>
      </c>
      <c r="F82" t="inlineStr">
        <is>
          <t>VÄSTRA GÖTALANDS LÄN</t>
        </is>
      </c>
      <c r="G82" t="inlineStr">
        <is>
          <t>BOLLEBYGD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46281</v>
      </c>
      <c r="F83" t="inlineStr">
        <is>
          <t>VÄSTRA GÖTALANDS LÄN</t>
        </is>
      </c>
      <c r="G83" t="inlineStr">
        <is>
          <t>BOLLEBYGD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46281</v>
      </c>
      <c r="F84" t="inlineStr">
        <is>
          <t>VÄSTRA GÖTALANDS LÄN</t>
        </is>
      </c>
      <c r="G84" t="inlineStr">
        <is>
          <t>BOLLEBYGD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46281</v>
      </c>
      <c r="F85" t="inlineStr">
        <is>
          <t>VÄSTRA GÖTALANDS LÄN</t>
        </is>
      </c>
      <c r="G85" t="inlineStr">
        <is>
          <t>BOLLEBYGD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45611</v>
      </c>
      <c r="E86" s="1" t="n">
        <v>46281</v>
      </c>
      <c r="F86" t="inlineStr">
        <is>
          <t>VÄSTRA GÖTALANDS LÄN</t>
        </is>
      </c>
      <c r="G86" t="inlineStr">
        <is>
          <t>BOLLEBYGD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45118</v>
      </c>
      <c r="E87" s="1" t="n">
        <v>46281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46281</v>
      </c>
      <c r="F88" t="inlineStr">
        <is>
          <t>VÄSTRA GÖTALANDS LÄN</t>
        </is>
      </c>
      <c r="G88" t="inlineStr">
        <is>
          <t>BOLLEBYGD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46281</v>
      </c>
      <c r="F89" t="inlineStr">
        <is>
          <t>VÄSTRA GÖTALANDS LÄN</t>
        </is>
      </c>
      <c r="G89" t="inlineStr">
        <is>
          <t>BOLLEBYGD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46281</v>
      </c>
      <c r="F90" t="inlineStr">
        <is>
          <t>VÄSTRA GÖTALANDS LÄN</t>
        </is>
      </c>
      <c r="G90" t="inlineStr">
        <is>
          <t>BOLLEBYGD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46281</v>
      </c>
      <c r="F91" t="inlineStr">
        <is>
          <t>VÄSTRA GÖTALANDS LÄN</t>
        </is>
      </c>
      <c r="G91" t="inlineStr">
        <is>
          <t>BOLLEBYGD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45254</v>
      </c>
      <c r="E92" s="1" t="n">
        <v>46281</v>
      </c>
      <c r="F92" t="inlineStr">
        <is>
          <t>VÄSTRA GÖTALANDS LÄN</t>
        </is>
      </c>
      <c r="G92" t="inlineStr">
        <is>
          <t>BOLLEBYGD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46281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46134</v>
      </c>
      <c r="E94" s="1" t="n">
        <v>46281</v>
      </c>
      <c r="F94" t="inlineStr">
        <is>
          <t>VÄSTRA GÖTALANDS LÄN</t>
        </is>
      </c>
      <c r="G94" t="inlineStr">
        <is>
          <t>BOLLEBYGD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46281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46281</v>
      </c>
      <c r="F96" t="inlineStr">
        <is>
          <t>VÄSTRA GÖTALANDS LÄN</t>
        </is>
      </c>
      <c r="G96" t="inlineStr">
        <is>
          <t>BOLLEBYGD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46281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45696</v>
      </c>
      <c r="E98" s="1" t="n">
        <v>46281</v>
      </c>
      <c r="F98" t="inlineStr">
        <is>
          <t>VÄSTRA GÖTALANDS LÄN</t>
        </is>
      </c>
      <c r="G98" t="inlineStr">
        <is>
          <t>BOLLEBYGD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22443-2023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45070</v>
      </c>
      <c r="E99" s="1" t="n">
        <v>46281</v>
      </c>
      <c r="F99" t="inlineStr">
        <is>
          <t>VÄSTRA GÖTALANDS LÄN</t>
        </is>
      </c>
      <c r="G99" t="inlineStr">
        <is>
          <t>BOLLEBYGD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46281</v>
      </c>
      <c r="F100" t="inlineStr">
        <is>
          <t>VÄSTRA GÖTALANDS LÄN</t>
        </is>
      </c>
      <c r="G100" t="inlineStr">
        <is>
          <t>BOLLEBYGD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46281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46281</v>
      </c>
      <c r="F102" t="inlineStr">
        <is>
          <t>VÄSTRA GÖTALANDS LÄN</t>
        </is>
      </c>
      <c r="G102" t="inlineStr">
        <is>
          <t>BOLLEBYGD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46281</v>
      </c>
      <c r="F103" t="inlineStr">
        <is>
          <t>VÄSTRA GÖTALANDS LÄN</t>
        </is>
      </c>
      <c r="G103" t="inlineStr">
        <is>
          <t>BOLLEBYGD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46281</v>
      </c>
      <c r="F104" t="inlineStr">
        <is>
          <t>VÄSTRA GÖTALANDS LÄN</t>
        </is>
      </c>
      <c r="G104" t="inlineStr">
        <is>
          <t>BOLLEBYGD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46281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46281</v>
      </c>
      <c r="F106" t="inlineStr">
        <is>
          <t>VÄSTRA GÖTALANDS LÄN</t>
        </is>
      </c>
      <c r="G106" t="inlineStr">
        <is>
          <t>BOLLEBYGD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45534</v>
      </c>
      <c r="E107" s="1" t="n">
        <v>46281</v>
      </c>
      <c r="F107" t="inlineStr">
        <is>
          <t>VÄSTRA GÖTALANDS LÄN</t>
        </is>
      </c>
      <c r="G107" t="inlineStr">
        <is>
          <t>BOLLEBYGD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36532-2024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45537</v>
      </c>
      <c r="E108" s="1" t="n">
        <v>46281</v>
      </c>
      <c r="F108" t="inlineStr">
        <is>
          <t>VÄSTRA GÖTALANDS LÄN</t>
        </is>
      </c>
      <c r="G108" t="inlineStr">
        <is>
          <t>BOLLEBYGD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46281</v>
      </c>
      <c r="F109" t="inlineStr">
        <is>
          <t>VÄSTRA GÖTALANDS LÄN</t>
        </is>
      </c>
      <c r="G109" t="inlineStr">
        <is>
          <t>BOLLEBYGD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46281</v>
      </c>
      <c r="F110" t="inlineStr">
        <is>
          <t>VÄSTRA GÖTALANDS LÄN</t>
        </is>
      </c>
      <c r="G110" t="inlineStr">
        <is>
          <t>BOLLEBYGD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46281</v>
      </c>
      <c r="F111" t="inlineStr">
        <is>
          <t>VÄSTRA GÖTALANDS LÄN</t>
        </is>
      </c>
      <c r="G111" t="inlineStr">
        <is>
          <t>BOLLEBYGD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20598-2026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46281</v>
      </c>
      <c r="F112" t="inlineStr">
        <is>
          <t>VÄSTRA GÖTALANDS LÄN</t>
        </is>
      </c>
      <c r="G112" t="inlineStr">
        <is>
          <t>BOLLEBYGD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45803</v>
      </c>
      <c r="E113" s="1" t="n">
        <v>46281</v>
      </c>
      <c r="F113" t="inlineStr">
        <is>
          <t>VÄSTRA GÖTALANDS LÄN</t>
        </is>
      </c>
      <c r="G113" t="inlineStr">
        <is>
          <t>BOLLEBYGD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46281</v>
      </c>
      <c r="F114" t="inlineStr">
        <is>
          <t>VÄSTRA GÖTALANDS LÄN</t>
        </is>
      </c>
      <c r="G114" t="inlineStr">
        <is>
          <t>BOLLEBYGD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45982</v>
      </c>
      <c r="E115" s="1" t="n">
        <v>46281</v>
      </c>
      <c r="F115" t="inlineStr">
        <is>
          <t>VÄSTRA GÖTALANDS LÄN</t>
        </is>
      </c>
      <c r="G115" t="inlineStr">
        <is>
          <t>BOLLEBYGD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46281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45604</v>
      </c>
      <c r="E117" s="1" t="n">
        <v>46281</v>
      </c>
      <c r="F117" t="inlineStr">
        <is>
          <t>VÄSTRA GÖTALANDS LÄN</t>
        </is>
      </c>
      <c r="G117" t="inlineStr">
        <is>
          <t>BOLLEBYGD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46141</v>
      </c>
      <c r="E118" s="1" t="n">
        <v>46281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46281</v>
      </c>
      <c r="F119" t="inlineStr">
        <is>
          <t>VÄSTRA GÖTALANDS LÄN</t>
        </is>
      </c>
      <c r="G119" t="inlineStr">
        <is>
          <t>BOLLEBYGD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45308</v>
      </c>
      <c r="E120" s="1" t="n">
        <v>46281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46281</v>
      </c>
      <c r="F121" t="inlineStr">
        <is>
          <t>VÄSTRA GÖTALANDS LÄN</t>
        </is>
      </c>
      <c r="G121" t="inlineStr">
        <is>
          <t>BOLLEBYGD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46281</v>
      </c>
      <c r="F122" t="inlineStr">
        <is>
          <t>VÄSTRA GÖTALANDS LÄN</t>
        </is>
      </c>
      <c r="G122" t="inlineStr">
        <is>
          <t>BOLLEBYGD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46281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46281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46281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46281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46281</v>
      </c>
      <c r="F127" t="inlineStr">
        <is>
          <t>VÄSTRA GÖTALANDS LÄN</t>
        </is>
      </c>
      <c r="G127" t="inlineStr">
        <is>
          <t>BOLLEBYGD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46281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46281</v>
      </c>
      <c r="F129" t="inlineStr">
        <is>
          <t>VÄSTRA GÖTALANDS LÄN</t>
        </is>
      </c>
      <c r="G129" t="inlineStr">
        <is>
          <t>BOLLEBYGD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46281</v>
      </c>
      <c r="F130" t="inlineStr">
        <is>
          <t>VÄSTRA GÖTALANDS LÄN</t>
        </is>
      </c>
      <c r="G130" t="inlineStr">
        <is>
          <t>BOLLEBYGD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46281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46281</v>
      </c>
      <c r="F132" t="inlineStr">
        <is>
          <t>VÄSTRA GÖTALANDS LÄN</t>
        </is>
      </c>
      <c r="G132" t="inlineStr">
        <is>
          <t>BOLLEBYGD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51314-2023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45219</v>
      </c>
      <c r="E133" s="1" t="n">
        <v>46281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44459</v>
      </c>
      <c r="E134" s="1" t="n">
        <v>46281</v>
      </c>
      <c r="F134" t="inlineStr">
        <is>
          <t>VÄSTRA GÖTALANDS LÄN</t>
        </is>
      </c>
      <c r="G134" t="inlineStr">
        <is>
          <t>BOLLEBYGD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46281</v>
      </c>
      <c r="F135" t="inlineStr">
        <is>
          <t>VÄSTRA GÖTALANDS LÄN</t>
        </is>
      </c>
      <c r="G135" t="inlineStr">
        <is>
          <t>BOLLEBYGD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45709</v>
      </c>
      <c r="E136" s="1" t="n">
        <v>46281</v>
      </c>
      <c r="F136" t="inlineStr">
        <is>
          <t>VÄSTRA GÖTALANDS LÄN</t>
        </is>
      </c>
      <c r="G136" t="inlineStr">
        <is>
          <t>BOLLEBYGD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45041</v>
      </c>
      <c r="E137" s="1" t="n">
        <v>46281</v>
      </c>
      <c r="F137" t="inlineStr">
        <is>
          <t>VÄSTRA GÖTALANDS LÄN</t>
        </is>
      </c>
      <c r="G137" t="inlineStr">
        <is>
          <t>BOLLEBYGD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46281</v>
      </c>
      <c r="F138" t="inlineStr">
        <is>
          <t>VÄSTRA GÖTALANDS LÄN</t>
        </is>
      </c>
      <c r="G138" t="inlineStr">
        <is>
          <t>BOLLEBYGD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46281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46281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46281</v>
      </c>
      <c r="F141" t="inlineStr">
        <is>
          <t>VÄSTRA GÖTALANDS LÄN</t>
        </is>
      </c>
      <c r="G141" t="inlineStr">
        <is>
          <t>BOLLEBYGD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46281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44868</v>
      </c>
      <c r="E143" s="1" t="n">
        <v>46281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46281</v>
      </c>
      <c r="F144" t="inlineStr">
        <is>
          <t>VÄSTRA GÖTALANDS LÄN</t>
        </is>
      </c>
      <c r="G144" t="inlineStr">
        <is>
          <t>BOLLEBYGD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30643-2023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45112</v>
      </c>
      <c r="E145" s="1" t="n">
        <v>46281</v>
      </c>
      <c r="F145" t="inlineStr">
        <is>
          <t>VÄSTRA GÖTALANDS LÄN</t>
        </is>
      </c>
      <c r="G145" t="inlineStr">
        <is>
          <t>BOLLEBYGD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46281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46281</v>
      </c>
      <c r="F147" t="inlineStr">
        <is>
          <t>VÄSTRA GÖTALANDS LÄN</t>
        </is>
      </c>
      <c r="G147" t="inlineStr">
        <is>
          <t>BOLLEBYGD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46281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46281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44915</v>
      </c>
      <c r="E150" s="1" t="n">
        <v>46281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45112</v>
      </c>
      <c r="E151" s="1" t="n">
        <v>46281</v>
      </c>
      <c r="F151" t="inlineStr">
        <is>
          <t>VÄSTRA GÖTALANDS LÄN</t>
        </is>
      </c>
      <c r="G151" t="inlineStr">
        <is>
          <t>BOLLEBYGD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46281</v>
      </c>
      <c r="F152" t="inlineStr">
        <is>
          <t>VÄSTRA GÖTALANDS LÄN</t>
        </is>
      </c>
      <c r="G152" t="inlineStr">
        <is>
          <t>BOLLEBYGD</t>
        </is>
      </c>
      <c r="H152" t="inlineStr">
        <is>
          <t>Kyrkan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44726</v>
      </c>
      <c r="E153" s="1" t="n">
        <v>46281</v>
      </c>
      <c r="F153" t="inlineStr">
        <is>
          <t>VÄSTRA GÖTALANDS LÄN</t>
        </is>
      </c>
      <c r="G153" t="inlineStr">
        <is>
          <t>BOLLEBYGD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46281</v>
      </c>
      <c r="F154" t="inlineStr">
        <is>
          <t>VÄSTRA GÖTALANDS LÄN</t>
        </is>
      </c>
      <c r="G154" t="inlineStr">
        <is>
          <t>BOLLEBYGD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46281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46281</v>
      </c>
      <c r="F156" t="inlineStr">
        <is>
          <t>VÄSTRA GÖTALANDS LÄN</t>
        </is>
      </c>
      <c r="G156" t="inlineStr">
        <is>
          <t>BOLLEBYGD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24965-2026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46281</v>
      </c>
      <c r="F157" t="inlineStr">
        <is>
          <t>VÄSTRA GÖTALANDS LÄN</t>
        </is>
      </c>
      <c r="G157" t="inlineStr">
        <is>
          <t>BOLLEBYGD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46281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46052</v>
      </c>
      <c r="E159" s="1" t="n">
        <v>46281</v>
      </c>
      <c r="F159" t="inlineStr">
        <is>
          <t>VÄSTRA GÖTALANDS LÄN</t>
        </is>
      </c>
      <c r="G159" t="inlineStr">
        <is>
          <t>BOLLEBYGD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46281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46281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46281</v>
      </c>
      <c r="F162" t="inlineStr">
        <is>
          <t>VÄSTRA GÖTALANDS LÄN</t>
        </is>
      </c>
      <c r="G162" t="inlineStr">
        <is>
          <t>BOLLEBYGD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46281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46281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46281</v>
      </c>
      <c r="F165" t="inlineStr">
        <is>
          <t>VÄSTRA GÖTALANDS LÄN</t>
        </is>
      </c>
      <c r="G165" t="inlineStr">
        <is>
          <t>BOLLEBYGD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45288</v>
      </c>
      <c r="E166" s="1" t="n">
        <v>46281</v>
      </c>
      <c r="F166" t="inlineStr">
        <is>
          <t>VÄSTRA GÖTALANDS LÄN</t>
        </is>
      </c>
      <c r="G166" t="inlineStr">
        <is>
          <t>BOLLEBYGD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46281</v>
      </c>
      <c r="F167" t="inlineStr">
        <is>
          <t>VÄSTRA GÖTALANDS LÄN</t>
        </is>
      </c>
      <c r="G167" t="inlineStr">
        <is>
          <t>BOLLEBYGD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26642-2026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46281</v>
      </c>
      <c r="F168" t="inlineStr">
        <is>
          <t>VÄSTRA GÖTALANDS LÄN</t>
        </is>
      </c>
      <c r="G168" t="inlineStr">
        <is>
          <t>BOLLEBYGD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46281</v>
      </c>
      <c r="F169" t="inlineStr">
        <is>
          <t>VÄSTRA GÖTALANDS LÄN</t>
        </is>
      </c>
      <c r="G169" t="inlineStr">
        <is>
          <t>BOLLEBYGD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27098-2026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46281</v>
      </c>
      <c r="F170" t="inlineStr">
        <is>
          <t>VÄSTRA GÖTALANDS LÄN</t>
        </is>
      </c>
      <c r="G170" t="inlineStr">
        <is>
          <t>BOLLEBYGD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59517-2023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45254</v>
      </c>
      <c r="E171" s="1" t="n">
        <v>46281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46281</v>
      </c>
      <c r="F172" t="inlineStr">
        <is>
          <t>VÄSTRA GÖTALANDS LÄN</t>
        </is>
      </c>
      <c r="G172" t="inlineStr">
        <is>
          <t>BOLLEBYGD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44494</v>
      </c>
      <c r="E173" s="1" t="n">
        <v>46281</v>
      </c>
      <c r="F173" t="inlineStr">
        <is>
          <t>VÄSTRA GÖTALANDS LÄN</t>
        </is>
      </c>
      <c r="G173" t="inlineStr">
        <is>
          <t>BOLLEBYGD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46281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46281</v>
      </c>
      <c r="F175" t="inlineStr">
        <is>
          <t>VÄSTRA GÖTALANDS LÄN</t>
        </is>
      </c>
      <c r="G175" t="inlineStr">
        <is>
          <t>BOLLEBYGD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30724-2023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45112</v>
      </c>
      <c r="E176" s="1" t="n">
        <v>46281</v>
      </c>
      <c r="F176" t="inlineStr">
        <is>
          <t>VÄSTRA GÖTALANDS LÄN</t>
        </is>
      </c>
      <c r="G176" t="inlineStr">
        <is>
          <t>BOLLEBYGD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27782-2026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46281</v>
      </c>
      <c r="F177" t="inlineStr">
        <is>
          <t>VÄSTRA GÖTALANDS LÄN</t>
        </is>
      </c>
      <c r="G177" t="inlineStr">
        <is>
          <t>BOLLEBYGD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6745-2023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44966</v>
      </c>
      <c r="E178" s="1" t="n">
        <v>46281</v>
      </c>
      <c r="F178" t="inlineStr">
        <is>
          <t>VÄSTRA GÖTALANDS LÄN</t>
        </is>
      </c>
      <c r="G178" t="inlineStr">
        <is>
          <t>BOLLEBYGD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46281</v>
      </c>
      <c r="F179" t="inlineStr">
        <is>
          <t>VÄSTRA GÖTALANDS LÄN</t>
        </is>
      </c>
      <c r="G179" t="inlineStr">
        <is>
          <t>BOLLEBYGD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46281</v>
      </c>
      <c r="F180" t="inlineStr">
        <is>
          <t>VÄSTRA GÖTALANDS LÄN</t>
        </is>
      </c>
      <c r="G180" t="inlineStr">
        <is>
          <t>BOLLEBYGD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44914</v>
      </c>
      <c r="E181" s="1" t="n">
        <v>46281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45276</v>
      </c>
      <c r="E182" s="1" t="n">
        <v>46281</v>
      </c>
      <c r="F182" t="inlineStr">
        <is>
          <t>VÄSTRA GÖTALANDS LÄN</t>
        </is>
      </c>
      <c r="G182" t="inlineStr">
        <is>
          <t>BOLLEBYGD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9527-2023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46281</v>
      </c>
      <c r="F183" t="inlineStr">
        <is>
          <t>VÄSTRA GÖTALANDS LÄN</t>
        </is>
      </c>
      <c r="G183" t="inlineStr">
        <is>
          <t>BOLLEBYGD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45112</v>
      </c>
      <c r="E184" s="1" t="n">
        <v>46281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45112</v>
      </c>
      <c r="E185" s="1" t="n">
        <v>46281</v>
      </c>
      <c r="F185" t="inlineStr">
        <is>
          <t>VÄSTRA GÖTALANDS LÄN</t>
        </is>
      </c>
      <c r="G185" t="inlineStr">
        <is>
          <t>BOLLEBYGD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45308</v>
      </c>
      <c r="E186" s="1" t="n">
        <v>46281</v>
      </c>
      <c r="F186" t="inlineStr">
        <is>
          <t>VÄSTRA GÖTALANDS LÄN</t>
        </is>
      </c>
      <c r="G186" t="inlineStr">
        <is>
          <t>BOLLEBYGD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46281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46281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46281</v>
      </c>
      <c r="F189" t="inlineStr">
        <is>
          <t>VÄSTRA GÖTALANDS LÄN</t>
        </is>
      </c>
      <c r="G189" t="inlineStr">
        <is>
          <t>BOLLEBYGD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46281</v>
      </c>
      <c r="F190" t="inlineStr">
        <is>
          <t>VÄSTRA GÖTALANDS LÄN</t>
        </is>
      </c>
      <c r="G190" t="inlineStr">
        <is>
          <t>BOLLEBYGD</t>
        </is>
      </c>
      <c r="I190" t="n">
        <v>9.699999999999999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46281</v>
      </c>
      <c r="F191" t="inlineStr">
        <is>
          <t>VÄSTRA GÖTALANDS LÄN</t>
        </is>
      </c>
      <c r="G191" t="inlineStr">
        <is>
          <t>BOLLEBYGD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45117</v>
      </c>
      <c r="E192" s="1" t="n">
        <v>46281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45117</v>
      </c>
      <c r="E193" s="1" t="n">
        <v>46281</v>
      </c>
      <c r="F193" t="inlineStr">
        <is>
          <t>VÄSTRA GÖTALANDS LÄN</t>
        </is>
      </c>
      <c r="G193" t="inlineStr">
        <is>
          <t>BOLLEBYGD</t>
        </is>
      </c>
      <c r="I193" t="n">
        <v>12.4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46281</v>
      </c>
      <c r="F194" t="inlineStr">
        <is>
          <t>VÄSTRA GÖTALANDS LÄN</t>
        </is>
      </c>
      <c r="G194" t="inlineStr">
        <is>
          <t>BOLLEBYGD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45586</v>
      </c>
      <c r="E195" s="1" t="n">
        <v>46281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46281</v>
      </c>
      <c r="F196" t="inlineStr">
        <is>
          <t>VÄSTRA GÖTALANDS LÄN</t>
        </is>
      </c>
      <c r="G196" t="inlineStr">
        <is>
          <t>BOLLEBYGD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46251</v>
      </c>
      <c r="E197" s="1" t="n">
        <v>46281</v>
      </c>
      <c r="F197" t="inlineStr">
        <is>
          <t>VÄSTRA GÖTALANDS LÄN</t>
        </is>
      </c>
      <c r="G197" t="inlineStr">
        <is>
          <t>BOLLEBYGD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46281</v>
      </c>
      <c r="F198" t="inlineStr">
        <is>
          <t>VÄSTRA GÖTALANDS LÄN</t>
        </is>
      </c>
      <c r="G198" t="inlineStr">
        <is>
          <t>BOLLEBYGD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45180</v>
      </c>
      <c r="E199" s="1" t="n">
        <v>46281</v>
      </c>
      <c r="F199" t="inlineStr">
        <is>
          <t>VÄSTRA GÖTALANDS LÄN</t>
        </is>
      </c>
      <c r="G199" t="inlineStr">
        <is>
          <t>BOLLEBYGD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44602</v>
      </c>
      <c r="E200" s="1" t="n">
        <v>46281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46281</v>
      </c>
      <c r="F201" t="inlineStr">
        <is>
          <t>VÄSTRA GÖTALANDS LÄN</t>
        </is>
      </c>
      <c r="G201" t="inlineStr">
        <is>
          <t>BOLLEBYGD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46281</v>
      </c>
      <c r="F202" t="inlineStr">
        <is>
          <t>VÄSTRA GÖTALANDS LÄN</t>
        </is>
      </c>
      <c r="G202" t="inlineStr">
        <is>
          <t>BOLLEBYGD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45117</v>
      </c>
      <c r="E203" s="1" t="n">
        <v>46281</v>
      </c>
      <c r="F203" t="inlineStr">
        <is>
          <t>VÄSTRA GÖTALANDS LÄN</t>
        </is>
      </c>
      <c r="G203" t="inlineStr">
        <is>
          <t>BOLLEBYGD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46281</v>
      </c>
      <c r="F204" t="inlineStr">
        <is>
          <t>VÄSTRA GÖTALANDS LÄN</t>
        </is>
      </c>
      <c r="G204" t="inlineStr">
        <is>
          <t>BOLLEBYGD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44683</v>
      </c>
      <c r="E205" s="1" t="n">
        <v>46281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21751-2022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44708</v>
      </c>
      <c r="E206" s="1" t="n">
        <v>46281</v>
      </c>
      <c r="F206" t="inlineStr">
        <is>
          <t>VÄSTRA GÖTALANDS LÄN</t>
        </is>
      </c>
      <c r="G206" t="inlineStr">
        <is>
          <t>BOLLEBYGD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45701</v>
      </c>
      <c r="E207" s="1" t="n">
        <v>46281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46259</v>
      </c>
      <c r="E208" s="1" t="n">
        <v>46281</v>
      </c>
      <c r="F208" t="inlineStr">
        <is>
          <t>VÄSTRA GÖTALANDS LÄN</t>
        </is>
      </c>
      <c r="G208" t="inlineStr">
        <is>
          <t>BOLLEBYGD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46281</v>
      </c>
      <c r="F209" t="inlineStr">
        <is>
          <t>VÄSTRA GÖTALANDS LÄN</t>
        </is>
      </c>
      <c r="G209" t="inlineStr">
        <is>
          <t>BOLLEBYGD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46281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46281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46281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46281</v>
      </c>
      <c r="F213" t="inlineStr">
        <is>
          <t>VÄSTRA GÖTALANDS LÄN</t>
        </is>
      </c>
      <c r="G213" t="inlineStr">
        <is>
          <t>BOLLEBYGD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46281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46272</v>
      </c>
      <c r="E215" s="1" t="n">
        <v>46281</v>
      </c>
      <c r="F215" t="inlineStr">
        <is>
          <t>VÄSTRA GÖTALANDS LÄN</t>
        </is>
      </c>
      <c r="G215" t="inlineStr">
        <is>
          <t>BOLLEBYGD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38074-2023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46281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46281</v>
      </c>
      <c r="F217" t="inlineStr">
        <is>
          <t>VÄSTRA GÖTALANDS LÄN</t>
        </is>
      </c>
      <c r="G217" t="inlineStr">
        <is>
          <t>BOLLEBYGD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45248</v>
      </c>
      <c r="E218" s="1" t="n">
        <v>46281</v>
      </c>
      <c r="F218" t="inlineStr">
        <is>
          <t>VÄSTRA GÖTALANDS LÄN</t>
        </is>
      </c>
      <c r="G218" t="inlineStr">
        <is>
          <t>BOLLEBYGD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46231</v>
      </c>
      <c r="E219" s="1" t="n">
        <v>46281</v>
      </c>
      <c r="F219" t="inlineStr">
        <is>
          <t>VÄSTRA GÖTALANDS LÄN</t>
        </is>
      </c>
      <c r="G219" t="inlineStr">
        <is>
          <t>BOLLEBYGD</t>
        </is>
      </c>
      <c r="H219" t="inlineStr">
        <is>
          <t>Kyrkan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64207-2021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44510</v>
      </c>
      <c r="E220" s="1" t="n">
        <v>46281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46120</v>
      </c>
      <c r="E221" s="1" t="n">
        <v>46281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45471</v>
      </c>
      <c r="E222" s="1" t="n">
        <v>46281</v>
      </c>
      <c r="F222" t="inlineStr">
        <is>
          <t>VÄSTRA GÖTALANDS LÄN</t>
        </is>
      </c>
      <c r="G222" t="inlineStr">
        <is>
          <t>BOLLEBYGD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46281</v>
      </c>
      <c r="F223" t="inlineStr">
        <is>
          <t>VÄSTRA GÖTALANDS LÄN</t>
        </is>
      </c>
      <c r="G223" t="inlineStr">
        <is>
          <t>BOLLEBYGD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46281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46281</v>
      </c>
      <c r="F225" t="inlineStr">
        <is>
          <t>VÄSTRA GÖTALANDS LÄN</t>
        </is>
      </c>
      <c r="G225" t="inlineStr">
        <is>
          <t>BOLLEBYGD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46281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43938-2024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45572</v>
      </c>
      <c r="E227" s="1" t="n">
        <v>46281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45713</v>
      </c>
      <c r="E228" s="1" t="n">
        <v>46281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46281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46281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46281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46281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46281</v>
      </c>
      <c r="F233" t="inlineStr">
        <is>
          <t>VÄSTRA GÖTALANDS LÄN</t>
        </is>
      </c>
      <c r="G233" t="inlineStr">
        <is>
          <t>BOLLEBYGD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46281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45836</v>
      </c>
      <c r="E235" s="1" t="n">
        <v>46281</v>
      </c>
      <c r="F235" t="inlineStr">
        <is>
          <t>VÄSTRA GÖTALANDS LÄN</t>
        </is>
      </c>
      <c r="G235" t="inlineStr">
        <is>
          <t>BOLLEBYGD</t>
        </is>
      </c>
      <c r="I235" t="n">
        <v>11.7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46281</v>
      </c>
      <c r="F236" t="inlineStr">
        <is>
          <t>VÄSTRA GÖTALANDS LÄN</t>
        </is>
      </c>
      <c r="G236" t="inlineStr">
        <is>
          <t>BOLLEBYGD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46281</v>
      </c>
      <c r="F237" t="inlineStr">
        <is>
          <t>VÄSTRA GÖTALANDS LÄN</t>
        </is>
      </c>
      <c r="G237" t="inlineStr">
        <is>
          <t>BOLLEBYGD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46281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46281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46281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2026-09-16T02:00:36Z</dcterms:created>
  <dcterms:modified xmlns:dcterms="http://purl.org/dc/terms/" xmlns:xsi="http://www.w3.org/2001/XMLSchema-instance" xsi:type="dcterms:W3CDTF">2026-09-16T02:00:37Z</dcterms:modified>
</cp:coreProperties>
</file>