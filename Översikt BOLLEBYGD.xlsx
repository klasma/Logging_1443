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46249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46249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46249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46249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46249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46249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30655-2023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46249</v>
      </c>
      <c r="F8" t="inlineStr">
        <is>
          <t>VÄSTRA GÖTALANDS LÄN</t>
        </is>
      </c>
      <c r="G8" t="inlineStr">
        <is>
          <t>BOLLEBYGD</t>
        </is>
      </c>
      <c r="I8" t="n">
        <v>2.9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Klippfrullania
Trädporella
Fläcknycklar</t>
        </is>
      </c>
      <c r="W8">
        <f>HYPERLINK("https://klasma.github.io/Logging_1443/artfynd/A 30655-2023 artfynd.xlsx", "A 30655-2023")</f>
        <v/>
      </c>
      <c r="X8">
        <f>HYPERLINK("https://klasma.github.io/Logging_1443/kartor/A 30655-2023 karta.png", "A 30655-2023")</f>
        <v/>
      </c>
      <c r="Y8">
        <f>HYPERLINK("https://klasma.github.io/Logging_1443/kartor_geotiff/A 30655-2023 georefererad karta.tif", "A 30655-2023")</f>
        <v/>
      </c>
      <c r="AA8">
        <f>HYPERLINK("https://klasma.github.io/Logging_1443/klagomål/A 30655-2023 FSC-klagomål.docx", "A 30655-2023")</f>
        <v/>
      </c>
      <c r="AB8">
        <f>HYPERLINK("https://klasma.github.io/Logging_1443/klagomålsmail/A 30655-2023 FSC-klagomål mail.docx", "A 30655-2023")</f>
        <v/>
      </c>
      <c r="AC8">
        <f>HYPERLINK("https://klasma.github.io/Logging_1443/tillsyn/A 30655-2023 tillsynsbegäran.docx", "A 30655-2023")</f>
        <v/>
      </c>
      <c r="AD8">
        <f>HYPERLINK("https://klasma.github.io/Logging_1443/tillsynsmail/A 30655-2023 tillsynsbegäran mail.docx", "A 30655-2023")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46249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46249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46249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46249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46249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46249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46249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46249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46249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46249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46249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46249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46249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46249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31742-2023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46249</v>
      </c>
      <c r="F23" t="inlineStr">
        <is>
          <t>VÄSTRA GÖTALANDS LÄN</t>
        </is>
      </c>
      <c r="G23" t="inlineStr">
        <is>
          <t>BOLLEBYGD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Spillkråka</t>
        </is>
      </c>
      <c r="W23">
        <f>HYPERLINK("https://klasma.github.io/Logging_1443/artfynd/A 31742-2023 artfynd.xlsx", "A 31742-2023")</f>
        <v/>
      </c>
      <c r="X23">
        <f>HYPERLINK("https://klasma.github.io/Logging_1443/kartor/A 31742-2023 karta.png", "A 31742-2023")</f>
        <v/>
      </c>
      <c r="Y23">
        <f>HYPERLINK("https://klasma.github.io/Logging_1443/kartor_geotiff/A 31742-2023 georefererad karta.tif", "A 31742-2023")</f>
        <v/>
      </c>
      <c r="AA23">
        <f>HYPERLINK("https://klasma.github.io/Logging_1443/klagomål/A 31742-2023 FSC-klagomål.docx", "A 31742-2023")</f>
        <v/>
      </c>
      <c r="AB23">
        <f>HYPERLINK("https://klasma.github.io/Logging_1443/klagomålsmail/A 31742-2023 FSC-klagomål mail.docx", "A 31742-2023")</f>
        <v/>
      </c>
      <c r="AC23">
        <f>HYPERLINK("https://klasma.github.io/Logging_1443/tillsyn/A 31742-2023 tillsynsbegäran.docx", "A 31742-2023")</f>
        <v/>
      </c>
      <c r="AD23">
        <f>HYPERLINK("https://klasma.github.io/Logging_1443/tillsynsmail/A 31742-2023 tillsynsbegäran mail.docx", "A 31742-2023")</f>
        <v/>
      </c>
      <c r="AE23">
        <f>HYPERLINK("https://klasma.github.io/Logging_1443/fåglar/A 31742-2023 prioriterade fågelarter.docx", "A 31742-2023")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46249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46249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46249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23906-2024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46249</v>
      </c>
      <c r="F27" t="inlineStr">
        <is>
          <t>VÄSTRA GÖTALANDS LÄN</t>
        </is>
      </c>
      <c r="G27" t="inlineStr">
        <is>
          <t>BOLLEBYGD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23906-2024 artfynd.xlsx", "A 23906-2024")</f>
        <v/>
      </c>
      <c r="X27">
        <f>HYPERLINK("https://klasma.github.io/Logging_1443/kartor/A 23906-2024 karta.png", "A 23906-2024")</f>
        <v/>
      </c>
      <c r="Y27">
        <f>HYPERLINK("https://klasma.github.io/Logging_1443/kartor_geotiff/A 23906-2024 georefererad karta.tif", "A 23906-2024")</f>
        <v/>
      </c>
      <c r="AA27">
        <f>HYPERLINK("https://klasma.github.io/Logging_1443/klagomål/A 23906-2024 FSC-klagomål.docx", "A 23906-2024")</f>
        <v/>
      </c>
      <c r="AB27">
        <f>HYPERLINK("https://klasma.github.io/Logging_1443/klagomålsmail/A 23906-2024 FSC-klagomål mail.docx", "A 23906-2024")</f>
        <v/>
      </c>
      <c r="AC27">
        <f>HYPERLINK("https://klasma.github.io/Logging_1443/tillsyn/A 23906-2024 tillsynsbegäran.docx", "A 23906-2024")</f>
        <v/>
      </c>
      <c r="AD27">
        <f>HYPERLINK("https://klasma.github.io/Logging_1443/tillsynsmail/A 23906-2024 tillsynsbegäran mail.docx", "A 23906-2024")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46249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46249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46249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46249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46249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46249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46249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46249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46249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46249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46249</v>
      </c>
      <c r="F38" t="inlineStr">
        <is>
          <t>VÄSTRA GÖTALANDS LÄN</t>
        </is>
      </c>
      <c r="G38" t="inlineStr">
        <is>
          <t>BOLLEBYGD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46249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46249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31546-2022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44775</v>
      </c>
      <c r="E41" s="1" t="n">
        <v>46249</v>
      </c>
      <c r="F41" t="inlineStr">
        <is>
          <t>VÄSTRA GÖTALANDS LÄN</t>
        </is>
      </c>
      <c r="G41" t="inlineStr">
        <is>
          <t>BOLLEBYGD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44914</v>
      </c>
      <c r="E42" s="1" t="n">
        <v>46249</v>
      </c>
      <c r="F42" t="inlineStr">
        <is>
          <t>VÄSTRA GÖTALANDS LÄN</t>
        </is>
      </c>
      <c r="G42" t="inlineStr">
        <is>
          <t>BOLLEBYGD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46249</v>
      </c>
      <c r="F43" t="inlineStr">
        <is>
          <t>VÄSTRA GÖTALANDS LÄN</t>
        </is>
      </c>
      <c r="G43" t="inlineStr">
        <is>
          <t>BOLLEBYGD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45254</v>
      </c>
      <c r="E44" s="1" t="n">
        <v>46249</v>
      </c>
      <c r="F44" t="inlineStr">
        <is>
          <t>VÄSTRA GÖTALANDS LÄN</t>
        </is>
      </c>
      <c r="G44" t="inlineStr">
        <is>
          <t>BOLLEBYGD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46249</v>
      </c>
      <c r="F45" t="inlineStr">
        <is>
          <t>VÄSTRA GÖTALANDS LÄN</t>
        </is>
      </c>
      <c r="G45" t="inlineStr">
        <is>
          <t>BOLLEBYGD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25928-2023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46249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46249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44818</v>
      </c>
      <c r="E48" s="1" t="n">
        <v>46249</v>
      </c>
      <c r="F48" t="inlineStr">
        <is>
          <t>VÄSTRA GÖTALANDS LÄN</t>
        </is>
      </c>
      <c r="G48" t="inlineStr">
        <is>
          <t>BOLLEBYGD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46249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46249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46249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46249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46249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45377</v>
      </c>
      <c r="E54" s="1" t="n">
        <v>46249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46249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46249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46249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46249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46249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44946</v>
      </c>
      <c r="E60" s="1" t="n">
        <v>46249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46249</v>
      </c>
      <c r="F61" t="inlineStr">
        <is>
          <t>VÄSTRA GÖTALANDS LÄN</t>
        </is>
      </c>
      <c r="G61" t="inlineStr">
        <is>
          <t>BOLLEBYGD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46249</v>
      </c>
      <c r="F62" t="inlineStr">
        <is>
          <t>VÄSTRA GÖTALANDS LÄN</t>
        </is>
      </c>
      <c r="G62" t="inlineStr">
        <is>
          <t>BOLLEBYGD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46249</v>
      </c>
      <c r="F63" t="inlineStr">
        <is>
          <t>VÄSTRA GÖTALANDS LÄN</t>
        </is>
      </c>
      <c r="G63" t="inlineStr">
        <is>
          <t>BOLLEBYGD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46249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46249</v>
      </c>
      <c r="F65" t="inlineStr">
        <is>
          <t>VÄSTRA GÖTALANDS LÄN</t>
        </is>
      </c>
      <c r="G65" t="inlineStr">
        <is>
          <t>BOLLEBYGD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46249</v>
      </c>
      <c r="F66" t="inlineStr">
        <is>
          <t>VÄSTRA GÖTALANDS LÄN</t>
        </is>
      </c>
      <c r="G66" t="inlineStr">
        <is>
          <t>BOLLEBYGD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23330-2024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45453</v>
      </c>
      <c r="E67" s="1" t="n">
        <v>46249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46249</v>
      </c>
      <c r="F68" t="inlineStr">
        <is>
          <t>VÄSTRA GÖTALANDS LÄN</t>
        </is>
      </c>
      <c r="G68" t="inlineStr">
        <is>
          <t>BOLLEBYGD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46249</v>
      </c>
      <c r="F69" t="inlineStr">
        <is>
          <t>VÄSTRA GÖTALANDS LÄN</t>
        </is>
      </c>
      <c r="G69" t="inlineStr">
        <is>
          <t>BOLLEBYGD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46249</v>
      </c>
      <c r="F70" t="inlineStr">
        <is>
          <t>VÄSTRA GÖTALANDS LÄN</t>
        </is>
      </c>
      <c r="G70" t="inlineStr">
        <is>
          <t>BOLLEBYGD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46249</v>
      </c>
      <c r="F71" t="inlineStr">
        <is>
          <t>VÄSTRA GÖTALANDS LÄN</t>
        </is>
      </c>
      <c r="G71" t="inlineStr">
        <is>
          <t>BOLLEBYGD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46249</v>
      </c>
      <c r="F72" t="inlineStr">
        <is>
          <t>VÄSTRA GÖTALANDS LÄN</t>
        </is>
      </c>
      <c r="G72" t="inlineStr">
        <is>
          <t>BOLLEBYGD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45358</v>
      </c>
      <c r="E73" s="1" t="n">
        <v>46249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46249</v>
      </c>
      <c r="F74" t="inlineStr">
        <is>
          <t>VÄSTRA GÖTALANDS LÄN</t>
        </is>
      </c>
      <c r="G74" t="inlineStr">
        <is>
          <t>BOLLEBYGD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46090</v>
      </c>
      <c r="E75" s="1" t="n">
        <v>46249</v>
      </c>
      <c r="F75" t="inlineStr">
        <is>
          <t>VÄSTRA GÖTALANDS LÄN</t>
        </is>
      </c>
      <c r="G75" t="inlineStr">
        <is>
          <t>BOLLEBYGD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46249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46249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46249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46249</v>
      </c>
      <c r="F79" t="inlineStr">
        <is>
          <t>VÄSTRA GÖTALANDS LÄN</t>
        </is>
      </c>
      <c r="G79" t="inlineStr">
        <is>
          <t>BOLLEBYGD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46249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46249</v>
      </c>
      <c r="F81" t="inlineStr">
        <is>
          <t>VÄSTRA GÖTALANDS LÄN</t>
        </is>
      </c>
      <c r="G81" t="inlineStr">
        <is>
          <t>BOLLEBYGD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46249</v>
      </c>
      <c r="F82" t="inlineStr">
        <is>
          <t>VÄSTRA GÖTALANDS LÄN</t>
        </is>
      </c>
      <c r="G82" t="inlineStr">
        <is>
          <t>BOLLEBYGD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46249</v>
      </c>
      <c r="F83" t="inlineStr">
        <is>
          <t>VÄSTRA GÖTALANDS LÄN</t>
        </is>
      </c>
      <c r="G83" t="inlineStr">
        <is>
          <t>BOLLEBYGD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46092</v>
      </c>
      <c r="E84" s="1" t="n">
        <v>46249</v>
      </c>
      <c r="F84" t="inlineStr">
        <is>
          <t>VÄSTRA GÖTALANDS LÄN</t>
        </is>
      </c>
      <c r="G84" t="inlineStr">
        <is>
          <t>BOLLEBYGD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45966</v>
      </c>
      <c r="E85" s="1" t="n">
        <v>46249</v>
      </c>
      <c r="F85" t="inlineStr">
        <is>
          <t>VÄSTRA GÖTALANDS LÄN</t>
        </is>
      </c>
      <c r="G85" t="inlineStr">
        <is>
          <t>BOLLEBYGD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46249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46249</v>
      </c>
      <c r="F87" t="inlineStr">
        <is>
          <t>VÄSTRA GÖTALANDS LÄN</t>
        </is>
      </c>
      <c r="G87" t="inlineStr">
        <is>
          <t>BOLLEBYGD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46099</v>
      </c>
      <c r="E88" s="1" t="n">
        <v>46249</v>
      </c>
      <c r="F88" t="inlineStr">
        <is>
          <t>VÄSTRA GÖTALANDS LÄN</t>
        </is>
      </c>
      <c r="G88" t="inlineStr">
        <is>
          <t>BOLLEBYGD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46249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46249</v>
      </c>
      <c r="F90" t="inlineStr">
        <is>
          <t>VÄSTRA GÖTALANDS LÄN</t>
        </is>
      </c>
      <c r="G90" t="inlineStr">
        <is>
          <t>BOLLEBYGD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14545-2026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46100</v>
      </c>
      <c r="E91" s="1" t="n">
        <v>46249</v>
      </c>
      <c r="F91" t="inlineStr">
        <is>
          <t>VÄSTRA GÖTALANDS LÄN</t>
        </is>
      </c>
      <c r="G91" t="inlineStr">
        <is>
          <t>BOLLEBYGD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46249</v>
      </c>
      <c r="F92" t="inlineStr">
        <is>
          <t>VÄSTRA GÖTALANDS LÄN</t>
        </is>
      </c>
      <c r="G92" t="inlineStr">
        <is>
          <t>BOLLEBYGD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58011-2022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46249</v>
      </c>
      <c r="F93" t="inlineStr">
        <is>
          <t>VÄSTRA GÖTALANDS LÄN</t>
        </is>
      </c>
      <c r="G93" t="inlineStr">
        <is>
          <t>BOLLEBYGD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46249</v>
      </c>
      <c r="F94" t="inlineStr">
        <is>
          <t>VÄSTRA GÖTALANDS LÄN</t>
        </is>
      </c>
      <c r="G94" t="inlineStr">
        <is>
          <t>BOLLEBYGD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46249</v>
      </c>
      <c r="F95" t="inlineStr">
        <is>
          <t>VÄSTRA GÖTALANDS LÄN</t>
        </is>
      </c>
      <c r="G95" t="inlineStr">
        <is>
          <t>BOLLEBYGD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46249</v>
      </c>
      <c r="F96" t="inlineStr">
        <is>
          <t>VÄSTRA GÖTALANDS LÄN</t>
        </is>
      </c>
      <c r="G96" t="inlineStr">
        <is>
          <t>BOLLEBYGD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46249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44658</v>
      </c>
      <c r="E98" s="1" t="n">
        <v>46249</v>
      </c>
      <c r="F98" t="inlineStr">
        <is>
          <t>VÄSTRA GÖTALANDS LÄN</t>
        </is>
      </c>
      <c r="G98" t="inlineStr">
        <is>
          <t>BOLLEBYGD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44946</v>
      </c>
      <c r="E99" s="1" t="n">
        <v>46249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46249</v>
      </c>
      <c r="F100" t="inlineStr">
        <is>
          <t>VÄSTRA GÖTALANDS LÄN</t>
        </is>
      </c>
      <c r="G100" t="inlineStr">
        <is>
          <t>BOLLEBYGD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46249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45070</v>
      </c>
      <c r="E102" s="1" t="n">
        <v>46249</v>
      </c>
      <c r="F102" t="inlineStr">
        <is>
          <t>VÄSTRA GÖTALANDS LÄN</t>
        </is>
      </c>
      <c r="G102" t="inlineStr">
        <is>
          <t>BOLLEBYGD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46249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44449</v>
      </c>
      <c r="E104" s="1" t="n">
        <v>46249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46249</v>
      </c>
      <c r="F105" t="inlineStr">
        <is>
          <t>VÄSTRA GÖTALANDS LÄN</t>
        </is>
      </c>
      <c r="G105" t="inlineStr">
        <is>
          <t>BOLLEBYGD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46249</v>
      </c>
      <c r="F106" t="inlineStr">
        <is>
          <t>VÄSTRA GÖTALANDS LÄN</t>
        </is>
      </c>
      <c r="G106" t="inlineStr">
        <is>
          <t>BOLLEBYGD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45982</v>
      </c>
      <c r="E107" s="1" t="n">
        <v>46249</v>
      </c>
      <c r="F107" t="inlineStr">
        <is>
          <t>VÄSTRA GÖTALANDS LÄN</t>
        </is>
      </c>
      <c r="G107" t="inlineStr">
        <is>
          <t>BOLLEBYGD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46249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46249</v>
      </c>
      <c r="F109" t="inlineStr">
        <is>
          <t>VÄSTRA GÖTALANDS LÄN</t>
        </is>
      </c>
      <c r="G109" t="inlineStr">
        <is>
          <t>BOLLEBYGD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46249</v>
      </c>
      <c r="F110" t="inlineStr">
        <is>
          <t>VÄSTRA GÖTALANDS LÄN</t>
        </is>
      </c>
      <c r="G110" t="inlineStr">
        <is>
          <t>BOLLEBYGD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46249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46249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46249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46249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46249</v>
      </c>
      <c r="F115" t="inlineStr">
        <is>
          <t>VÄSTRA GÖTALANDS LÄN</t>
        </is>
      </c>
      <c r="G115" t="inlineStr">
        <is>
          <t>BOLLEBYGD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45994</v>
      </c>
      <c r="E116" s="1" t="n">
        <v>46249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46249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45308</v>
      </c>
      <c r="E118" s="1" t="n">
        <v>46249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46249</v>
      </c>
      <c r="F119" t="inlineStr">
        <is>
          <t>VÄSTRA GÖTALANDS LÄN</t>
        </is>
      </c>
      <c r="G119" t="inlineStr">
        <is>
          <t>BOLLEBYGD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46249</v>
      </c>
      <c r="F120" t="inlineStr">
        <is>
          <t>VÄSTRA GÖTALANDS LÄN</t>
        </is>
      </c>
      <c r="G120" t="inlineStr">
        <is>
          <t>BOLLEBYGD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46249</v>
      </c>
      <c r="F121" t="inlineStr">
        <is>
          <t>VÄSTRA GÖTALANDS LÄN</t>
        </is>
      </c>
      <c r="G121" t="inlineStr">
        <is>
          <t>BOLLEBYGD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46249</v>
      </c>
      <c r="F122" t="inlineStr">
        <is>
          <t>VÄSTRA GÖTALANDS LÄN</t>
        </is>
      </c>
      <c r="G122" t="inlineStr">
        <is>
          <t>BOLLEBYGD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45696</v>
      </c>
      <c r="E123" s="1" t="n">
        <v>46249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46249</v>
      </c>
      <c r="F124" t="inlineStr">
        <is>
          <t>VÄSTRA GÖTALANDS LÄN</t>
        </is>
      </c>
      <c r="G124" t="inlineStr">
        <is>
          <t>BOLLEBYGD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44868</v>
      </c>
      <c r="E125" s="1" t="n">
        <v>46249</v>
      </c>
      <c r="F125" t="inlineStr">
        <is>
          <t>VÄSTRA GÖTALANDS LÄN</t>
        </is>
      </c>
      <c r="G125" t="inlineStr">
        <is>
          <t>BOLLEBYGD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46249</v>
      </c>
      <c r="F126" t="inlineStr">
        <is>
          <t>VÄSTRA GÖTALANDS LÄN</t>
        </is>
      </c>
      <c r="G126" t="inlineStr">
        <is>
          <t>BOLLEBYGD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46249</v>
      </c>
      <c r="F127" t="inlineStr">
        <is>
          <t>VÄSTRA GÖTALANDS LÄN</t>
        </is>
      </c>
      <c r="G127" t="inlineStr">
        <is>
          <t>BOLLEBYGD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46249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44915</v>
      </c>
      <c r="E129" s="1" t="n">
        <v>46249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46249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46249</v>
      </c>
      <c r="F131" t="inlineStr">
        <is>
          <t>VÄSTRA GÖTALANDS LÄN</t>
        </is>
      </c>
      <c r="G131" t="inlineStr">
        <is>
          <t>BOLLEBYGD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51314-2023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45219</v>
      </c>
      <c r="E132" s="1" t="n">
        <v>46249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46249</v>
      </c>
      <c r="F133" t="inlineStr">
        <is>
          <t>VÄSTRA GÖTALANDS LÄN</t>
        </is>
      </c>
      <c r="G133" t="inlineStr">
        <is>
          <t>BOLLEBYGD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46249</v>
      </c>
      <c r="F134" t="inlineStr">
        <is>
          <t>VÄSTRA GÖTALANDS LÄN</t>
        </is>
      </c>
      <c r="G134" t="inlineStr">
        <is>
          <t>BOLLEBYGD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46249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46249</v>
      </c>
      <c r="F136" t="inlineStr">
        <is>
          <t>VÄSTRA GÖTALANDS LÄN</t>
        </is>
      </c>
      <c r="G136" t="inlineStr">
        <is>
          <t>BOLLEBYGD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46249</v>
      </c>
      <c r="F137" t="inlineStr">
        <is>
          <t>VÄSTRA GÖTALANDS LÄN</t>
        </is>
      </c>
      <c r="G137" t="inlineStr">
        <is>
          <t>BOLLEBYGD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46249</v>
      </c>
      <c r="F138" t="inlineStr">
        <is>
          <t>VÄSTRA GÖTALANDS LÄN</t>
        </is>
      </c>
      <c r="G138" t="inlineStr">
        <is>
          <t>BOLLEBYGD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46249</v>
      </c>
      <c r="F139" t="inlineStr">
        <is>
          <t>VÄSTRA GÖTALANDS LÄN</t>
        </is>
      </c>
      <c r="G139" t="inlineStr">
        <is>
          <t>BOLLEBYGD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46249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46249</v>
      </c>
      <c r="F141" t="inlineStr">
        <is>
          <t>VÄSTRA GÖTALANDS LÄN</t>
        </is>
      </c>
      <c r="G141" t="inlineStr">
        <is>
          <t>BOLLEBYGD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46249</v>
      </c>
      <c r="F142" t="inlineStr">
        <is>
          <t>VÄSTRA GÖTALANDS LÄN</t>
        </is>
      </c>
      <c r="G142" t="inlineStr">
        <is>
          <t>BOLLEBYGD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46249</v>
      </c>
      <c r="F143" t="inlineStr">
        <is>
          <t>VÄSTRA GÖTALANDS LÄN</t>
        </is>
      </c>
      <c r="G143" t="inlineStr">
        <is>
          <t>BOLLEBYGD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46249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45276</v>
      </c>
      <c r="E145" s="1" t="n">
        <v>46249</v>
      </c>
      <c r="F145" t="inlineStr">
        <is>
          <t>VÄSTRA GÖTALANDS LÄN</t>
        </is>
      </c>
      <c r="G145" t="inlineStr">
        <is>
          <t>BOLLEBYGD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46249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45709</v>
      </c>
      <c r="E147" s="1" t="n">
        <v>46249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46249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Kyrkan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46249</v>
      </c>
      <c r="F149" t="inlineStr">
        <is>
          <t>VÄSTRA GÖTALANDS LÄN</t>
        </is>
      </c>
      <c r="G149" t="inlineStr">
        <is>
          <t>BOLLEBYGD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46249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46249</v>
      </c>
      <c r="F151" t="inlineStr">
        <is>
          <t>VÄSTRA GÖTALANDS LÄN</t>
        </is>
      </c>
      <c r="G151" t="inlineStr">
        <is>
          <t>BOLLEBYGD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46249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46249</v>
      </c>
      <c r="F153" t="inlineStr">
        <is>
          <t>VÄSTRA GÖTALANDS LÄN</t>
        </is>
      </c>
      <c r="G153" t="inlineStr">
        <is>
          <t>BOLLEBYGD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46249</v>
      </c>
      <c r="F154" t="inlineStr">
        <is>
          <t>VÄSTRA GÖTALANDS LÄN</t>
        </is>
      </c>
      <c r="G154" t="inlineStr">
        <is>
          <t>BOLLEBYGD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46249</v>
      </c>
      <c r="F155" t="inlineStr">
        <is>
          <t>VÄSTRA GÖTALANDS LÄN</t>
        </is>
      </c>
      <c r="G155" t="inlineStr">
        <is>
          <t>BOLLEBYGD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46249</v>
      </c>
      <c r="F156" t="inlineStr">
        <is>
          <t>VÄSTRA GÖTALANDS LÄN</t>
        </is>
      </c>
      <c r="G156" t="inlineStr">
        <is>
          <t>BOLLEBYGD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46249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46249</v>
      </c>
      <c r="F158" t="inlineStr">
        <is>
          <t>VÄSTRA GÖTALANDS LÄN</t>
        </is>
      </c>
      <c r="G158" t="inlineStr">
        <is>
          <t>BOLLEBYGD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46249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46249</v>
      </c>
      <c r="F160" t="inlineStr">
        <is>
          <t>VÄSTRA GÖTALANDS LÄN</t>
        </is>
      </c>
      <c r="G160" t="inlineStr">
        <is>
          <t>BOLLEBYGD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67455-2021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46249</v>
      </c>
      <c r="F161" t="inlineStr">
        <is>
          <t>VÄSTRA GÖTALANDS LÄN</t>
        </is>
      </c>
      <c r="G161" t="inlineStr">
        <is>
          <t>BOLLEBYGD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46249</v>
      </c>
      <c r="F162" t="inlineStr">
        <is>
          <t>VÄSTRA GÖTALANDS LÄN</t>
        </is>
      </c>
      <c r="G162" t="inlineStr">
        <is>
          <t>BOLLEBYGD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46249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46249</v>
      </c>
      <c r="F164" t="inlineStr">
        <is>
          <t>VÄSTRA GÖTALANDS LÄN</t>
        </is>
      </c>
      <c r="G164" t="inlineStr">
        <is>
          <t>BOLLEBYGD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46249</v>
      </c>
      <c r="F165" t="inlineStr">
        <is>
          <t>VÄSTRA GÖTALANDS LÄN</t>
        </is>
      </c>
      <c r="G165" t="inlineStr">
        <is>
          <t>BOLLEBYGD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46249</v>
      </c>
      <c r="F166" t="inlineStr">
        <is>
          <t>VÄSTRA GÖTALANDS LÄN</t>
        </is>
      </c>
      <c r="G166" t="inlineStr">
        <is>
          <t>BOLLEBYGD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46249</v>
      </c>
      <c r="F167" t="inlineStr">
        <is>
          <t>VÄSTRA GÖTALANDS LÄN</t>
        </is>
      </c>
      <c r="G167" t="inlineStr">
        <is>
          <t>BOLLEBYGD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46249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46249</v>
      </c>
      <c r="F169" t="inlineStr">
        <is>
          <t>VÄSTRA GÖTALANDS LÄN</t>
        </is>
      </c>
      <c r="G169" t="inlineStr">
        <is>
          <t>BOLLEBYGD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46249</v>
      </c>
      <c r="F170" t="inlineStr">
        <is>
          <t>VÄSTRA GÖTALANDS LÄN</t>
        </is>
      </c>
      <c r="G170" t="inlineStr">
        <is>
          <t>BOLLEBYGD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46249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46249</v>
      </c>
      <c r="F172" t="inlineStr">
        <is>
          <t>VÄSTRA GÖTALANDS LÄN</t>
        </is>
      </c>
      <c r="G172" t="inlineStr">
        <is>
          <t>BOLLEBYGD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46249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46249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46249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44726</v>
      </c>
      <c r="E176" s="1" t="n">
        <v>46249</v>
      </c>
      <c r="F176" t="inlineStr">
        <is>
          <t>VÄSTRA GÖTALANDS LÄN</t>
        </is>
      </c>
      <c r="G176" t="inlineStr">
        <is>
          <t>BOLLEBYGD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46249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46249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46249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46249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46249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46249</v>
      </c>
      <c r="F182" t="inlineStr">
        <is>
          <t>VÄSTRA GÖTALANDS LÄN</t>
        </is>
      </c>
      <c r="G182" t="inlineStr">
        <is>
          <t>BOLLEBYGD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45248</v>
      </c>
      <c r="E183" s="1" t="n">
        <v>46249</v>
      </c>
      <c r="F183" t="inlineStr">
        <is>
          <t>VÄSTRA GÖTALANDS LÄN</t>
        </is>
      </c>
      <c r="G183" t="inlineStr">
        <is>
          <t>BOLLEBYGD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46249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44510</v>
      </c>
      <c r="E185" s="1" t="n">
        <v>46249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46249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46249</v>
      </c>
      <c r="F187" t="inlineStr">
        <is>
          <t>VÄSTRA GÖTALANDS LÄN</t>
        </is>
      </c>
      <c r="G187" t="inlineStr">
        <is>
          <t>BOLLEBYGD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46249</v>
      </c>
      <c r="F188" t="inlineStr">
        <is>
          <t>VÄSTRA GÖTALANDS LÄN</t>
        </is>
      </c>
      <c r="G188" t="inlineStr">
        <is>
          <t>BOLLEBYGD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46249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46249</v>
      </c>
      <c r="F190" t="inlineStr">
        <is>
          <t>VÄSTRA GÖTALANDS LÄN</t>
        </is>
      </c>
      <c r="G190" t="inlineStr">
        <is>
          <t>BOLLEBYGD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46249</v>
      </c>
      <c r="F191" t="inlineStr">
        <is>
          <t>VÄSTRA GÖTALANDS LÄN</t>
        </is>
      </c>
      <c r="G191" t="inlineStr">
        <is>
          <t>BOLLEBYGD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46249</v>
      </c>
      <c r="F192" t="inlineStr">
        <is>
          <t>VÄSTRA GÖTALANDS LÄN</t>
        </is>
      </c>
      <c r="G192" t="inlineStr">
        <is>
          <t>BOLLEBYGD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6745-2023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44966</v>
      </c>
      <c r="E193" s="1" t="n">
        <v>46249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45784</v>
      </c>
      <c r="E194" s="1" t="n">
        <v>46249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46249</v>
      </c>
      <c r="F195" t="inlineStr">
        <is>
          <t>VÄSTRA GÖTALANDS LÄN</t>
        </is>
      </c>
      <c r="G195" t="inlineStr">
        <is>
          <t>BOLLEBYGD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46249</v>
      </c>
      <c r="F196" t="inlineStr">
        <is>
          <t>VÄSTRA GÖTALANDS LÄN</t>
        </is>
      </c>
      <c r="G196" t="inlineStr">
        <is>
          <t>BOLLEBYGD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46249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46249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44992</v>
      </c>
      <c r="E199" s="1" t="n">
        <v>46249</v>
      </c>
      <c r="F199" t="inlineStr">
        <is>
          <t>VÄSTRA GÖTALANDS LÄN</t>
        </is>
      </c>
      <c r="G199" t="inlineStr">
        <is>
          <t>BOLLEBYGD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46249</v>
      </c>
      <c r="F200" t="inlineStr">
        <is>
          <t>VÄSTRA GÖTALANDS LÄN</t>
        </is>
      </c>
      <c r="G200" t="inlineStr">
        <is>
          <t>BOLLEBYGD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46249</v>
      </c>
      <c r="F201" t="inlineStr">
        <is>
          <t>VÄSTRA GÖTALANDS LÄN</t>
        </is>
      </c>
      <c r="G201" t="inlineStr">
        <is>
          <t>BOLLEBYGD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46249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46249</v>
      </c>
      <c r="F203" t="inlineStr">
        <is>
          <t>VÄSTRA GÖTALANDS LÄN</t>
        </is>
      </c>
      <c r="G203" t="inlineStr">
        <is>
          <t>BOLLEBYGD</t>
        </is>
      </c>
      <c r="I203" t="n">
        <v>12.4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46249</v>
      </c>
      <c r="F204" t="inlineStr">
        <is>
          <t>VÄSTRA GÖTALANDS LÄN</t>
        </is>
      </c>
      <c r="G204" t="inlineStr">
        <is>
          <t>BOLLEBYGD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46249</v>
      </c>
      <c r="F205" t="inlineStr">
        <is>
          <t>VÄSTRA GÖTALANDS LÄN</t>
        </is>
      </c>
      <c r="G205" t="inlineStr">
        <is>
          <t>BOLLEBYGD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46249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46249</v>
      </c>
      <c r="F207" t="inlineStr">
        <is>
          <t>VÄSTRA GÖTALANDS LÄN</t>
        </is>
      </c>
      <c r="G207" t="inlineStr">
        <is>
          <t>BOLLEBYGD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46249</v>
      </c>
      <c r="F208" t="inlineStr">
        <is>
          <t>VÄSTRA GÖTALANDS LÄN</t>
        </is>
      </c>
      <c r="G208" t="inlineStr">
        <is>
          <t>BOLLEBYGD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44602</v>
      </c>
      <c r="E209" s="1" t="n">
        <v>46249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46249</v>
      </c>
      <c r="F210" t="inlineStr">
        <is>
          <t>VÄSTRA GÖTALANDS LÄN</t>
        </is>
      </c>
      <c r="G210" t="inlineStr">
        <is>
          <t>BOLLEBYGD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46249</v>
      </c>
      <c r="F211" t="inlineStr">
        <is>
          <t>VÄSTRA GÖTALANDS LÄN</t>
        </is>
      </c>
      <c r="G211" t="inlineStr">
        <is>
          <t>BOLLEBYGD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45377</v>
      </c>
      <c r="E212" s="1" t="n">
        <v>46249</v>
      </c>
      <c r="F212" t="inlineStr">
        <is>
          <t>VÄSTRA GÖTALANDS LÄN</t>
        </is>
      </c>
      <c r="G212" t="inlineStr">
        <is>
          <t>BOLLEBYGD</t>
        </is>
      </c>
      <c r="H212" t="inlineStr">
        <is>
          <t>Kommuner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46249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46249</v>
      </c>
      <c r="F214" t="inlineStr">
        <is>
          <t>VÄSTRA GÖTALANDS LÄN</t>
        </is>
      </c>
      <c r="G214" t="inlineStr">
        <is>
          <t>BOLLEBYGD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46249</v>
      </c>
      <c r="F215" t="inlineStr">
        <is>
          <t>VÄSTRA GÖTALANDS LÄN</t>
        </is>
      </c>
      <c r="G215" t="inlineStr">
        <is>
          <t>BOLLEBYGD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46249</v>
      </c>
      <c r="F216" t="inlineStr">
        <is>
          <t>VÄSTRA GÖTALANDS LÄN</t>
        </is>
      </c>
      <c r="G216" t="inlineStr">
        <is>
          <t>BOLLEBYGD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46249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46249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46249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46249</v>
      </c>
      <c r="F220" t="inlineStr">
        <is>
          <t>VÄSTRA GÖTALANDS LÄN</t>
        </is>
      </c>
      <c r="G220" t="inlineStr">
        <is>
          <t>BOLLEBYGD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44683</v>
      </c>
      <c r="E221" s="1" t="n">
        <v>46249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46249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Kyrkan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44708</v>
      </c>
      <c r="E223" s="1" t="n">
        <v>46249</v>
      </c>
      <c r="F223" t="inlineStr">
        <is>
          <t>VÄSTRA GÖTALANDS LÄN</t>
        </is>
      </c>
      <c r="G223" t="inlineStr">
        <is>
          <t>BOLLEBYGD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46249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46249</v>
      </c>
      <c r="F225" t="inlineStr">
        <is>
          <t>VÄSTRA GÖTALANDS LÄN</t>
        </is>
      </c>
      <c r="G225" t="inlineStr">
        <is>
          <t>BOLLEBYGD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46249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46249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45836</v>
      </c>
      <c r="E228" s="1" t="n">
        <v>46249</v>
      </c>
      <c r="F228" t="inlineStr">
        <is>
          <t>VÄSTRA GÖTALANDS LÄN</t>
        </is>
      </c>
      <c r="G228" t="inlineStr">
        <is>
          <t>BOLLEBYGD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42256-2023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46249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46249</v>
      </c>
      <c r="F230" t="inlineStr">
        <is>
          <t>VÄSTRA GÖTALANDS LÄN</t>
        </is>
      </c>
      <c r="G230" t="inlineStr">
        <is>
          <t>BOLLEBYGD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62986-2023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46249</v>
      </c>
      <c r="F231" t="inlineStr">
        <is>
          <t>VÄSTRA GÖTALANDS LÄN</t>
        </is>
      </c>
      <c r="G231" t="inlineStr">
        <is>
          <t>BOLLEBYGD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46249</v>
      </c>
      <c r="F232" t="inlineStr">
        <is>
          <t>VÄSTRA GÖTALANDS LÄN</t>
        </is>
      </c>
      <c r="G232" t="inlineStr">
        <is>
          <t>BOLLEBYGD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46249</v>
      </c>
      <c r="F233" t="inlineStr">
        <is>
          <t>VÄSTRA GÖTALANDS LÄN</t>
        </is>
      </c>
      <c r="G233" t="inlineStr">
        <is>
          <t>BOLLEBYGD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46120</v>
      </c>
      <c r="E234" s="1" t="n">
        <v>46249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45872</v>
      </c>
      <c r="E235" s="1" t="n">
        <v>46249</v>
      </c>
      <c r="F235" t="inlineStr">
        <is>
          <t>VÄSTRA GÖTALANDS LÄN</t>
        </is>
      </c>
      <c r="G235" t="inlineStr">
        <is>
          <t>BOLLEBYGD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46249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2751-2025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45934</v>
      </c>
      <c r="E237" s="1" t="n">
        <v>46249</v>
      </c>
      <c r="F237" t="inlineStr">
        <is>
          <t>VÄSTRA GÖTALANDS LÄN</t>
        </is>
      </c>
      <c r="G237" t="inlineStr">
        <is>
          <t>BOLLEBYGD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1396-2026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46154</v>
      </c>
      <c r="E238" s="1" t="n">
        <v>46249</v>
      </c>
      <c r="F238" t="inlineStr">
        <is>
          <t>VÄSTRA GÖTALANDS LÄN</t>
        </is>
      </c>
      <c r="G238" t="inlineStr">
        <is>
          <t>BOLLEBYGD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2143-2026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46246</v>
      </c>
      <c r="E239" s="1" t="n">
        <v>46249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2026-08-15T08:30:21Z</dcterms:created>
  <dcterms:modified xmlns:dcterms="http://purl.org/dc/terms/" xmlns:xsi="http://www.w3.org/2001/XMLSchema-instance" xsi:type="dcterms:W3CDTF">2026-08-15T08:30:21Z</dcterms:modified>
</cp:coreProperties>
</file>