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46039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46039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46039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46039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46039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46039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46039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30754-2023</t>
        </is>
      </c>
      <c r="B12" s="1" t="n">
        <v>45112</v>
      </c>
      <c r="C12" s="1" t="n">
        <v>46039</v>
      </c>
      <c r="D12" t="inlineStr">
        <is>
          <t>VÄSTRA GÖTALANDS LÄN</t>
        </is>
      </c>
      <c r="E12" t="inlineStr">
        <is>
          <t>BOLLEBYGD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HYPERLINK("https://klasma.github.io/Logging_1443/artfynd/A 30754-2023 artfynd.xlsx", "A 30754-2023")</f>
        <v/>
      </c>
      <c r="T12">
        <f>HYPERLINK("https://klasma.github.io/Logging_1443/kartor/A 30754-2023 karta.png", "A 30754-2023")</f>
        <v/>
      </c>
      <c r="V12">
        <f>HYPERLINK("https://klasma.github.io/Logging_1443/klagomål/A 30754-2023 FSC-klagomål.docx", "A 30754-2023")</f>
        <v/>
      </c>
      <c r="W12">
        <f>HYPERLINK("https://klasma.github.io/Logging_1443/klagomålsmail/A 30754-2023 FSC-klagomål mail.docx", "A 30754-2023")</f>
        <v/>
      </c>
      <c r="X12">
        <f>HYPERLINK("https://klasma.github.io/Logging_1443/tillsyn/A 30754-2023 tillsynsbegäran.docx", "A 30754-2023")</f>
        <v/>
      </c>
      <c r="Y12">
        <f>HYPERLINK("https://klasma.github.io/Logging_1443/tillsynsmail/A 30754-2023 tillsynsbegäran mail.docx", "A 30754-2023")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46039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46039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46039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46039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13739-2024</t>
        </is>
      </c>
      <c r="B17" s="1" t="n">
        <v>45390</v>
      </c>
      <c r="C17" s="1" t="n">
        <v>46039</v>
      </c>
      <c r="D17" t="inlineStr">
        <is>
          <t>VÄSTRA GÖTALANDS LÄN</t>
        </is>
      </c>
      <c r="E17" t="inlineStr">
        <is>
          <t>BOLLEBYGD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HYPERLINK("https://klasma.github.io/Logging_1443/artfynd/A 13739-2024 artfynd.xlsx", "A 13739-2024")</f>
        <v/>
      </c>
      <c r="T17">
        <f>HYPERLINK("https://klasma.github.io/Logging_1443/kartor/A 13739-2024 karta.png", "A 13739-2024")</f>
        <v/>
      </c>
      <c r="V17">
        <f>HYPERLINK("https://klasma.github.io/Logging_1443/klagomål/A 13739-2024 FSC-klagomål.docx", "A 13739-2024")</f>
        <v/>
      </c>
      <c r="W17">
        <f>HYPERLINK("https://klasma.github.io/Logging_1443/klagomålsmail/A 13739-2024 FSC-klagomål mail.docx", "A 13739-2024")</f>
        <v/>
      </c>
      <c r="X17">
        <f>HYPERLINK("https://klasma.github.io/Logging_1443/tillsyn/A 13739-2024 tillsynsbegäran.docx", "A 13739-2024")</f>
        <v/>
      </c>
      <c r="Y17">
        <f>HYPERLINK("https://klasma.github.io/Logging_1443/tillsynsmail/A 13739-2024 tillsynsbegäran mail.docx", "A 13739-2024")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46039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46039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46039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61244-2024</t>
        </is>
      </c>
      <c r="B22" s="1" t="n">
        <v>45645.68797453704</v>
      </c>
      <c r="C22" s="1" t="n">
        <v>46039</v>
      </c>
      <c r="D22" t="inlineStr">
        <is>
          <t>VÄSTRA GÖTALANDS LÄN</t>
        </is>
      </c>
      <c r="E22" t="inlineStr">
        <is>
          <t>BOLLEBYGD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HYPERLINK("https://klasma.github.io/Logging_1443/artfynd/A 61244-2024 artfynd.xlsx", "A 61244-2024")</f>
        <v/>
      </c>
      <c r="T22">
        <f>HYPERLINK("https://klasma.github.io/Logging_1443/kartor/A 61244-2024 karta.png", "A 61244-2024")</f>
        <v/>
      </c>
      <c r="V22">
        <f>HYPERLINK("https://klasma.github.io/Logging_1443/klagomål/A 61244-2024 FSC-klagomål.docx", "A 61244-2024")</f>
        <v/>
      </c>
      <c r="W22">
        <f>HYPERLINK("https://klasma.github.io/Logging_1443/klagomålsmail/A 61244-2024 FSC-klagomål mail.docx", "A 61244-2024")</f>
        <v/>
      </c>
      <c r="X22">
        <f>HYPERLINK("https://klasma.github.io/Logging_1443/tillsyn/A 61244-2024 tillsynsbegäran.docx", "A 61244-2024")</f>
        <v/>
      </c>
      <c r="Y22">
        <f>HYPERLINK("https://klasma.github.io/Logging_1443/tillsynsmail/A 61244-2024 tillsynsbegäran mail.docx", "A 61244-2024")</f>
        <v/>
      </c>
    </row>
    <row r="23" ht="15" customHeight="1">
      <c r="A23" t="inlineStr">
        <is>
          <t>A 32503-2025</t>
        </is>
      </c>
      <c r="B23" s="1" t="n">
        <v>45838.46440972222</v>
      </c>
      <c r="C23" s="1" t="n">
        <v>46039</v>
      </c>
      <c r="D23" t="inlineStr">
        <is>
          <t>VÄSTRA GÖTALANDS LÄN</t>
        </is>
      </c>
      <c r="E23" t="inlineStr">
        <is>
          <t>BOLLEBYGD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HYPERLINK("https://klasma.github.io/Logging_1443/artfynd/A 32503-2025 artfynd.xlsx", "A 32503-2025")</f>
        <v/>
      </c>
      <c r="T23">
        <f>HYPERLINK("https://klasma.github.io/Logging_1443/kartor/A 32503-2025 karta.png", "A 32503-2025")</f>
        <v/>
      </c>
      <c r="V23">
        <f>HYPERLINK("https://klasma.github.io/Logging_1443/klagomål/A 32503-2025 FSC-klagomål.docx", "A 32503-2025")</f>
        <v/>
      </c>
      <c r="W23">
        <f>HYPERLINK("https://klasma.github.io/Logging_1443/klagomålsmail/A 32503-2025 FSC-klagomål mail.docx", "A 32503-2025")</f>
        <v/>
      </c>
      <c r="X23">
        <f>HYPERLINK("https://klasma.github.io/Logging_1443/tillsyn/A 32503-2025 tillsynsbegäran.docx", "A 32503-2025")</f>
        <v/>
      </c>
      <c r="Y23">
        <f>HYPERLINK("https://klasma.github.io/Logging_1443/tillsynsmail/A 32503-2025 tillsynsbegäran mail.docx", "A 32503-2025")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46039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46039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46039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46039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46039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46039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46039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46039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46039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46039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46039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46039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46039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46039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46039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46039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46039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46039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46039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46039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46039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22541-2023</t>
        </is>
      </c>
      <c r="B49" s="1" t="n">
        <v>45071</v>
      </c>
      <c r="C49" s="1" t="n">
        <v>46039</v>
      </c>
      <c r="D49" t="inlineStr">
        <is>
          <t>VÄSTRA GÖTALANDS LÄN</t>
        </is>
      </c>
      <c r="E49" t="inlineStr">
        <is>
          <t>BOLLEBYGD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435-2025</t>
        </is>
      </c>
      <c r="B50" s="1" t="n">
        <v>45664.37454861111</v>
      </c>
      <c r="C50" s="1" t="n">
        <v>46039</v>
      </c>
      <c r="D50" t="inlineStr">
        <is>
          <t>VÄSTRA GÖTALANDS LÄN</t>
        </is>
      </c>
      <c r="E50" t="inlineStr">
        <is>
          <t>BOLLEBYGD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28158-2024</t>
        </is>
      </c>
      <c r="B51" s="1" t="n">
        <v>45476.93028935185</v>
      </c>
      <c r="C51" s="1" t="n">
        <v>46039</v>
      </c>
      <c r="D51" t="inlineStr">
        <is>
          <t>VÄSTRA GÖTALANDS LÄN</t>
        </is>
      </c>
      <c r="E51" t="inlineStr">
        <is>
          <t>BOLLEBYGD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40202-2021</t>
        </is>
      </c>
      <c r="B52" s="1" t="n">
        <v>44418</v>
      </c>
      <c r="C52" s="1" t="n">
        <v>46039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69413-2021</t>
        </is>
      </c>
      <c r="B53" s="1" t="n">
        <v>44531.61189814815</v>
      </c>
      <c r="C53" s="1" t="n">
        <v>46039</v>
      </c>
      <c r="D53" t="inlineStr">
        <is>
          <t>VÄSTRA GÖTALANDS LÄN</t>
        </is>
      </c>
      <c r="E53" t="inlineStr">
        <is>
          <t>BOLLEBYGD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48285-2021</t>
        </is>
      </c>
      <c r="B54" s="1" t="n">
        <v>44449.77408564815</v>
      </c>
      <c r="C54" s="1" t="n">
        <v>46039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67455-2021</t>
        </is>
      </c>
      <c r="B55" s="1" t="n">
        <v>44524.38003472222</v>
      </c>
      <c r="C55" s="1" t="n">
        <v>46039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36650-2025</t>
        </is>
      </c>
      <c r="B56" s="1" t="n">
        <v>45872.58658564815</v>
      </c>
      <c r="C56" s="1" t="n">
        <v>46039</v>
      </c>
      <c r="D56" t="inlineStr">
        <is>
          <t>VÄSTRA GÖTALANDS LÄN</t>
        </is>
      </c>
      <c r="E56" t="inlineStr">
        <is>
          <t>BOLLEBYGD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39188-2025</t>
        </is>
      </c>
      <c r="B57" s="1" t="n">
        <v>45888.67532407407</v>
      </c>
      <c r="C57" s="1" t="n">
        <v>46039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30628-2023</t>
        </is>
      </c>
      <c r="B58" s="1" t="n">
        <v>45112.44275462963</v>
      </c>
      <c r="C58" s="1" t="n">
        <v>46039</v>
      </c>
      <c r="D58" t="inlineStr">
        <is>
          <t>VÄSTRA GÖTALANDS LÄN</t>
        </is>
      </c>
      <c r="E58" t="inlineStr">
        <is>
          <t>BOLLEBYGD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30643-2023</t>
        </is>
      </c>
      <c r="B59" s="1" t="n">
        <v>45112.47034722222</v>
      </c>
      <c r="C59" s="1" t="n">
        <v>46039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39556-2022</t>
        </is>
      </c>
      <c r="B60" s="1" t="n">
        <v>44818.56305555555</v>
      </c>
      <c r="C60" s="1" t="n">
        <v>46039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38108-2025</t>
        </is>
      </c>
      <c r="B61" s="1" t="n">
        <v>45882.5039699074</v>
      </c>
      <c r="C61" s="1" t="n">
        <v>46039</v>
      </c>
      <c r="D61" t="inlineStr">
        <is>
          <t>VÄSTRA GÖTALANDS LÄN</t>
        </is>
      </c>
      <c r="E61" t="inlineStr">
        <is>
          <t>BOLLEBYGD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46039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46039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31717-2023</t>
        </is>
      </c>
      <c r="B64" s="1" t="n">
        <v>45117</v>
      </c>
      <c r="C64" s="1" t="n">
        <v>46039</v>
      </c>
      <c r="D64" t="inlineStr">
        <is>
          <t>VÄSTRA GÖTALANDS LÄN</t>
        </is>
      </c>
      <c r="E64" t="inlineStr">
        <is>
          <t>BOLLEBYGD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31719-2023</t>
        </is>
      </c>
      <c r="B65" s="1" t="n">
        <v>45117.8900462963</v>
      </c>
      <c r="C65" s="1" t="n">
        <v>46039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31546-2022</t>
        </is>
      </c>
      <c r="B66" s="1" t="n">
        <v>44775</v>
      </c>
      <c r="C66" s="1" t="n">
        <v>46039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30800-2023</t>
        </is>
      </c>
      <c r="B67" s="1" t="n">
        <v>45112.77375</v>
      </c>
      <c r="C67" s="1" t="n">
        <v>46039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46039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50011-2023</t>
        </is>
      </c>
      <c r="B69" s="1" t="n">
        <v>45215</v>
      </c>
      <c r="C69" s="1" t="n">
        <v>46039</v>
      </c>
      <c r="D69" t="inlineStr">
        <is>
          <t>VÄSTRA GÖTALANDS LÄN</t>
        </is>
      </c>
      <c r="E69" t="inlineStr">
        <is>
          <t>BOLLEBYGD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46511-2023</t>
        </is>
      </c>
      <c r="B70" s="1" t="n">
        <v>45197</v>
      </c>
      <c r="C70" s="1" t="n">
        <v>46039</v>
      </c>
      <c r="D70" t="inlineStr">
        <is>
          <t>VÄSTRA GÖTALANDS LÄN</t>
        </is>
      </c>
      <c r="E70" t="inlineStr">
        <is>
          <t>BOLLEBYGD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24368-2022</t>
        </is>
      </c>
      <c r="B71" s="1" t="n">
        <v>44726.43189814815</v>
      </c>
      <c r="C71" s="1" t="n">
        <v>46039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12160-2024</t>
        </is>
      </c>
      <c r="B72" s="1" t="n">
        <v>45377.80496527778</v>
      </c>
      <c r="C72" s="1" t="n">
        <v>46039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30650-2023</t>
        </is>
      </c>
      <c r="B73" s="1" t="n">
        <v>45112.47785879629</v>
      </c>
      <c r="C73" s="1" t="n">
        <v>46039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46039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46039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54289-2022</t>
        </is>
      </c>
      <c r="B76" s="1" t="n">
        <v>44882</v>
      </c>
      <c r="C76" s="1" t="n">
        <v>46039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46039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64005-2025</t>
        </is>
      </c>
      <c r="B78" s="1" t="n">
        <v>46021.41178240741</v>
      </c>
      <c r="C78" s="1" t="n">
        <v>46039</v>
      </c>
      <c r="D78" t="inlineStr">
        <is>
          <t>VÄSTRA GÖTALANDS LÄN</t>
        </is>
      </c>
      <c r="E78" t="inlineStr">
        <is>
          <t>BOLLEBYGD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64003-2025</t>
        </is>
      </c>
      <c r="B79" s="1" t="n">
        <v>46021.40840277778</v>
      </c>
      <c r="C79" s="1" t="n">
        <v>46039</v>
      </c>
      <c r="D79" t="inlineStr">
        <is>
          <t>VÄSTRA GÖTALANDS LÄN</t>
        </is>
      </c>
      <c r="E79" t="inlineStr">
        <is>
          <t>BOLLEBYGD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1922-2024</t>
        </is>
      </c>
      <c r="B80" s="1" t="n">
        <v>45308.43416666667</v>
      </c>
      <c r="C80" s="1" t="n">
        <v>46039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58139-2025</t>
        </is>
      </c>
      <c r="B81" s="1" t="n">
        <v>45982.62479166667</v>
      </c>
      <c r="C81" s="1" t="n">
        <v>46039</v>
      </c>
      <c r="D81" t="inlineStr">
        <is>
          <t>VÄSTRA GÖTALANDS LÄN</t>
        </is>
      </c>
      <c r="E81" t="inlineStr">
        <is>
          <t>BOLLEBYGD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50057-2023</t>
        </is>
      </c>
      <c r="B82" s="1" t="n">
        <v>45215</v>
      </c>
      <c r="C82" s="1" t="n">
        <v>46039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58137-2025</t>
        </is>
      </c>
      <c r="B83" s="1" t="n">
        <v>45982.62140046297</v>
      </c>
      <c r="C83" s="1" t="n">
        <v>46039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29658-2022</t>
        </is>
      </c>
      <c r="B84" s="1" t="n">
        <v>44754.67859953704</v>
      </c>
      <c r="C84" s="1" t="n">
        <v>46039</v>
      </c>
      <c r="D84" t="inlineStr">
        <is>
          <t>VÄSTRA GÖTALANDS LÄN</t>
        </is>
      </c>
      <c r="E84" t="inlineStr">
        <is>
          <t>BOLLEBYGD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5072-2023</t>
        </is>
      </c>
      <c r="B85" s="1" t="n">
        <v>44958.60896990741</v>
      </c>
      <c r="C85" s="1" t="n">
        <v>46039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27498-2021</t>
        </is>
      </c>
      <c r="B86" s="1" t="n">
        <v>44351</v>
      </c>
      <c r="C86" s="1" t="n">
        <v>46039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65118-2023</t>
        </is>
      </c>
      <c r="B87" s="1" t="n">
        <v>45288</v>
      </c>
      <c r="C87" s="1" t="n">
        <v>46039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56335-2024</t>
        </is>
      </c>
      <c r="B88" s="1" t="n">
        <v>45624.80724537037</v>
      </c>
      <c r="C88" s="1" t="n">
        <v>46039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43398-2024</t>
        </is>
      </c>
      <c r="B89" s="1" t="n">
        <v>45568.61006944445</v>
      </c>
      <c r="C89" s="1" t="n">
        <v>46039</v>
      </c>
      <c r="D89" t="inlineStr">
        <is>
          <t>VÄSTRA GÖTALANDS LÄN</t>
        </is>
      </c>
      <c r="E89" t="inlineStr">
        <is>
          <t>BOLLEBYGD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59517-2023</t>
        </is>
      </c>
      <c r="B90" s="1" t="n">
        <v>45254</v>
      </c>
      <c r="C90" s="1" t="n">
        <v>46039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46039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59816-2021</t>
        </is>
      </c>
      <c r="B92" s="1" t="n">
        <v>44494</v>
      </c>
      <c r="C92" s="1" t="n">
        <v>46039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31617-2021</t>
        </is>
      </c>
      <c r="B93" s="1" t="n">
        <v>44369.58694444445</v>
      </c>
      <c r="C93" s="1" t="n">
        <v>46039</v>
      </c>
      <c r="D93" t="inlineStr">
        <is>
          <t>VÄSTRA GÖTALANDS LÄN</t>
        </is>
      </c>
      <c r="E93" t="inlineStr">
        <is>
          <t>BOLLEBYGD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52102-2023</t>
        </is>
      </c>
      <c r="B94" s="1" t="n">
        <v>45223</v>
      </c>
      <c r="C94" s="1" t="n">
        <v>46039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46039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6745-2023</t>
        </is>
      </c>
      <c r="B96" s="1" t="n">
        <v>44966</v>
      </c>
      <c r="C96" s="1" t="n">
        <v>46039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59493-2025</t>
        </is>
      </c>
      <c r="B97" s="1" t="n">
        <v>45989.60912037037</v>
      </c>
      <c r="C97" s="1" t="n">
        <v>46039</v>
      </c>
      <c r="D97" t="inlineStr">
        <is>
          <t>VÄSTRA GÖTALANDS LÄN</t>
        </is>
      </c>
      <c r="E97" t="inlineStr">
        <is>
          <t>BOLLEBYGD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60792-2022</t>
        </is>
      </c>
      <c r="B98" s="1" t="n">
        <v>44914.42209490741</v>
      </c>
      <c r="C98" s="1" t="n">
        <v>46039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46039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59871-2025</t>
        </is>
      </c>
      <c r="B100" s="1" t="n">
        <v>45992.92416666666</v>
      </c>
      <c r="C100" s="1" t="n">
        <v>46039</v>
      </c>
      <c r="D100" t="inlineStr">
        <is>
          <t>VÄSTRA GÖTALANDS LÄN</t>
        </is>
      </c>
      <c r="E100" t="inlineStr">
        <is>
          <t>BOLLEBYGD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46039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42250-2023</t>
        </is>
      </c>
      <c r="B102" s="1" t="n">
        <v>45180.36814814815</v>
      </c>
      <c r="C102" s="1" t="n">
        <v>46039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60091-2025</t>
        </is>
      </c>
      <c r="B103" s="1" t="n">
        <v>45993.72268518519</v>
      </c>
      <c r="C103" s="1" t="n">
        <v>46039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60092-2025</t>
        </is>
      </c>
      <c r="B104" s="1" t="n">
        <v>45993.72543981481</v>
      </c>
      <c r="C104" s="1" t="n">
        <v>46039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60089-2025</t>
        </is>
      </c>
      <c r="B105" s="1" t="n">
        <v>45993.72018518519</v>
      </c>
      <c r="C105" s="1" t="n">
        <v>46039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60093-2025</t>
        </is>
      </c>
      <c r="B106" s="1" t="n">
        <v>45993.72949074074</v>
      </c>
      <c r="C106" s="1" t="n">
        <v>46039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45185-2025</t>
        </is>
      </c>
      <c r="B107" s="1" t="n">
        <v>45919.54019675926</v>
      </c>
      <c r="C107" s="1" t="n">
        <v>46039</v>
      </c>
      <c r="D107" t="inlineStr">
        <is>
          <t>VÄSTRA GÖTALANDS LÄN</t>
        </is>
      </c>
      <c r="E107" t="inlineStr">
        <is>
          <t>BOLLEBYGD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59872-2025</t>
        </is>
      </c>
      <c r="B108" s="1" t="n">
        <v>45992.93340277778</v>
      </c>
      <c r="C108" s="1" t="n">
        <v>46039</v>
      </c>
      <c r="D108" t="inlineStr">
        <is>
          <t>VÄSTRA GÖTALANDS LÄN</t>
        </is>
      </c>
      <c r="E108" t="inlineStr">
        <is>
          <t>BOLLEBYGD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60181-2025</t>
        </is>
      </c>
      <c r="B109" s="1" t="n">
        <v>45994.46494212963</v>
      </c>
      <c r="C109" s="1" t="n">
        <v>46039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11239-2023</t>
        </is>
      </c>
      <c r="B110" s="1" t="n">
        <v>44992</v>
      </c>
      <c r="C110" s="1" t="n">
        <v>46039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60376-2025</t>
        </is>
      </c>
      <c r="B111" s="1" t="n">
        <v>45995.36325231481</v>
      </c>
      <c r="C111" s="1" t="n">
        <v>46039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18613-2025</t>
        </is>
      </c>
      <c r="B112" s="1" t="n">
        <v>45763.49810185185</v>
      </c>
      <c r="C112" s="1" t="n">
        <v>46039</v>
      </c>
      <c r="D112" t="inlineStr">
        <is>
          <t>VÄSTRA GÖTALANDS LÄN</t>
        </is>
      </c>
      <c r="E112" t="inlineStr">
        <is>
          <t>BOLLEBYGD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18614-2025</t>
        </is>
      </c>
      <c r="B113" s="1" t="n">
        <v>45763.50244212963</v>
      </c>
      <c r="C113" s="1" t="n">
        <v>46039</v>
      </c>
      <c r="D113" t="inlineStr">
        <is>
          <t>VÄSTRA GÖTALANDS LÄN</t>
        </is>
      </c>
      <c r="E113" t="inlineStr">
        <is>
          <t>BOLLEBYGD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60380-2025</t>
        </is>
      </c>
      <c r="B114" s="1" t="n">
        <v>45995.36851851852</v>
      </c>
      <c r="C114" s="1" t="n">
        <v>46039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36131-2024</t>
        </is>
      </c>
      <c r="B115" s="1" t="n">
        <v>45534.33863425926</v>
      </c>
      <c r="C115" s="1" t="n">
        <v>46039</v>
      </c>
      <c r="D115" t="inlineStr">
        <is>
          <t>VÄSTRA GÖTALANDS LÄN</t>
        </is>
      </c>
      <c r="E115" t="inlineStr">
        <is>
          <t>BOLLEBYGD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10610-2025</t>
        </is>
      </c>
      <c r="B116" s="1" t="n">
        <v>45721.59978009259</v>
      </c>
      <c r="C116" s="1" t="n">
        <v>46039</v>
      </c>
      <c r="D116" t="inlineStr">
        <is>
          <t>VÄSTRA GÖTALANDS LÄN</t>
        </is>
      </c>
      <c r="E116" t="inlineStr">
        <is>
          <t>BOLLEBYGD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31712-2023</t>
        </is>
      </c>
      <c r="B117" s="1" t="n">
        <v>45117.8322337963</v>
      </c>
      <c r="C117" s="1" t="n">
        <v>46039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31715-2023</t>
        </is>
      </c>
      <c r="B118" s="1" t="n">
        <v>45117.84797453704</v>
      </c>
      <c r="C118" s="1" t="n">
        <v>46039</v>
      </c>
      <c r="D118" t="inlineStr">
        <is>
          <t>VÄSTRA GÖTALANDS LÄN</t>
        </is>
      </c>
      <c r="E118" t="inlineStr">
        <is>
          <t>BOLLEBYGD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31745-2023</t>
        </is>
      </c>
      <c r="B119" s="1" t="n">
        <v>45117</v>
      </c>
      <c r="C119" s="1" t="n">
        <v>46039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47279-2025</t>
        </is>
      </c>
      <c r="B120" s="1" t="n">
        <v>45930.47650462963</v>
      </c>
      <c r="C120" s="1" t="n">
        <v>46039</v>
      </c>
      <c r="D120" t="inlineStr">
        <is>
          <t>VÄSTRA GÖTALANDS LÄN</t>
        </is>
      </c>
      <c r="E120" t="inlineStr">
        <is>
          <t>BOLLEBYGD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47258-2025</t>
        </is>
      </c>
      <c r="B121" s="1" t="n">
        <v>45930.44646990741</v>
      </c>
      <c r="C121" s="1" t="n">
        <v>46039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54287-2022</t>
        </is>
      </c>
      <c r="B122" s="1" t="n">
        <v>44882.37096064815</v>
      </c>
      <c r="C122" s="1" t="n">
        <v>46039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46039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47934-2025</t>
        </is>
      </c>
      <c r="B124" s="1" t="n">
        <v>45932.55678240741</v>
      </c>
      <c r="C124" s="1" t="n">
        <v>46039</v>
      </c>
      <c r="D124" t="inlineStr">
        <is>
          <t>VÄSTRA GÖTALANDS LÄN</t>
        </is>
      </c>
      <c r="E124" t="inlineStr">
        <is>
          <t>BOLLEBYGD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47264-2024</t>
        </is>
      </c>
      <c r="B125" s="1" t="n">
        <v>45586.8034837963</v>
      </c>
      <c r="C125" s="1" t="n">
        <v>46039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47723-2025</t>
        </is>
      </c>
      <c r="B126" s="1" t="n">
        <v>45931.62960648148</v>
      </c>
      <c r="C126" s="1" t="n">
        <v>46039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47265-2024</t>
        </is>
      </c>
      <c r="B127" s="1" t="n">
        <v>45586.80979166667</v>
      </c>
      <c r="C127" s="1" t="n">
        <v>46039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48354-2024</t>
        </is>
      </c>
      <c r="B128" s="1" t="n">
        <v>45590.56171296296</v>
      </c>
      <c r="C128" s="1" t="n">
        <v>46039</v>
      </c>
      <c r="D128" t="inlineStr">
        <is>
          <t>VÄSTRA GÖTALANDS LÄN</t>
        </is>
      </c>
      <c r="E128" t="inlineStr">
        <is>
          <t>BOLLEBYGD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42483-2023</t>
        </is>
      </c>
      <c r="B129" s="1" t="n">
        <v>45180.82547453704</v>
      </c>
      <c r="C129" s="1" t="n">
        <v>46039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48212-2025</t>
        </is>
      </c>
      <c r="B130" s="1" t="n">
        <v>45933.49399305556</v>
      </c>
      <c r="C130" s="1" t="n">
        <v>46039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6653-2022</t>
        </is>
      </c>
      <c r="B131" s="1" t="n">
        <v>44602</v>
      </c>
      <c r="C131" s="1" t="n">
        <v>46039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46039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49269-2025</t>
        </is>
      </c>
      <c r="B133" s="1" t="n">
        <v>45938.50247685185</v>
      </c>
      <c r="C133" s="1" t="n">
        <v>46039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46039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49460-2025</t>
        </is>
      </c>
      <c r="B135" s="1" t="n">
        <v>45939.31943287037</v>
      </c>
      <c r="C135" s="1" t="n">
        <v>46039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30769-2023</t>
        </is>
      </c>
      <c r="B136" s="1" t="n">
        <v>45112</v>
      </c>
      <c r="C136" s="1" t="n">
        <v>46039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54659-2022</t>
        </is>
      </c>
      <c r="B137" s="1" t="n">
        <v>44883</v>
      </c>
      <c r="C137" s="1" t="n">
        <v>46039</v>
      </c>
      <c r="D137" t="inlineStr">
        <is>
          <t>VÄSTRA GÖTALANDS LÄN</t>
        </is>
      </c>
      <c r="E137" t="inlineStr">
        <is>
          <t>BOLLEBYGD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30794-2023</t>
        </is>
      </c>
      <c r="B138" s="1" t="n">
        <v>45112.75039351852</v>
      </c>
      <c r="C138" s="1" t="n">
        <v>46039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31718-2023</t>
        </is>
      </c>
      <c r="B139" s="1" t="n">
        <v>45117.88568287037</v>
      </c>
      <c r="C139" s="1" t="n">
        <v>46039</v>
      </c>
      <c r="D139" t="inlineStr">
        <is>
          <t>VÄSTRA GÖTALANDS LÄN</t>
        </is>
      </c>
      <c r="E139" t="inlineStr">
        <is>
          <t>BOLLEBYGD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35526-2023</t>
        </is>
      </c>
      <c r="B140" s="1" t="n">
        <v>45147</v>
      </c>
      <c r="C140" s="1" t="n">
        <v>46039</v>
      </c>
      <c r="D140" t="inlineStr">
        <is>
          <t>VÄSTRA GÖTALANDS LÄN</t>
        </is>
      </c>
      <c r="E140" t="inlineStr">
        <is>
          <t>BOLLEBYGD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28040-2024</t>
        </is>
      </c>
      <c r="B141" s="1" t="n">
        <v>45476.50533564815</v>
      </c>
      <c r="C141" s="1" t="n">
        <v>46039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22834-2024</t>
        </is>
      </c>
      <c r="B142" s="1" t="n">
        <v>45448.57018518518</v>
      </c>
      <c r="C142" s="1" t="n">
        <v>46039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46039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46039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46039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4782-2024</t>
        </is>
      </c>
      <c r="B146" s="1" t="n">
        <v>45328</v>
      </c>
      <c r="C146" s="1" t="n">
        <v>46039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4783-2024</t>
        </is>
      </c>
      <c r="B147" s="1" t="n">
        <v>45328</v>
      </c>
      <c r="C147" s="1" t="n">
        <v>46039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21751-2022</t>
        </is>
      </c>
      <c r="B148" s="1" t="n">
        <v>44708.43361111111</v>
      </c>
      <c r="C148" s="1" t="n">
        <v>46039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5681-2021</t>
        </is>
      </c>
      <c r="B149" s="1" t="n">
        <v>44230</v>
      </c>
      <c r="C149" s="1" t="n">
        <v>46039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30792-2023</t>
        </is>
      </c>
      <c r="B150" s="1" t="n">
        <v>45112.72848379629</v>
      </c>
      <c r="C150" s="1" t="n">
        <v>46039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52075-2025</t>
        </is>
      </c>
      <c r="B151" s="1" t="n">
        <v>45952.65550925926</v>
      </c>
      <c r="C151" s="1" t="n">
        <v>46039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52108-2025</t>
        </is>
      </c>
      <c r="B152" s="1" t="n">
        <v>45952.6910300926</v>
      </c>
      <c r="C152" s="1" t="n">
        <v>46039</v>
      </c>
      <c r="D152" t="inlineStr">
        <is>
          <t>VÄSTRA GÖTALANDS LÄN</t>
        </is>
      </c>
      <c r="E152" t="inlineStr">
        <is>
          <t>BOLLEBYGD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7046-2025</t>
        </is>
      </c>
      <c r="B153" s="1" t="n">
        <v>45701.6434375</v>
      </c>
      <c r="C153" s="1" t="n">
        <v>46039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52077-2025</t>
        </is>
      </c>
      <c r="B154" s="1" t="n">
        <v>45952.65769675926</v>
      </c>
      <c r="C154" s="1" t="n">
        <v>46039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51613-2025</t>
        </is>
      </c>
      <c r="B155" s="1" t="n">
        <v>45951.39907407408</v>
      </c>
      <c r="C155" s="1" t="n">
        <v>46039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52370-2025</t>
        </is>
      </c>
      <c r="B156" s="1" t="n">
        <v>45953.88924768518</v>
      </c>
      <c r="C156" s="1" t="n">
        <v>46039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52511-2025</t>
        </is>
      </c>
      <c r="B157" s="1" t="n">
        <v>45954.50719907408</v>
      </c>
      <c r="C157" s="1" t="n">
        <v>46039</v>
      </c>
      <c r="D157" t="inlineStr">
        <is>
          <t>VÄSTRA GÖTALANDS LÄN</t>
        </is>
      </c>
      <c r="E157" t="inlineStr">
        <is>
          <t>BOLLEBYGD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46039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41910-2024</t>
        </is>
      </c>
      <c r="B159" s="1" t="n">
        <v>45561.54084490741</v>
      </c>
      <c r="C159" s="1" t="n">
        <v>46039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52371-2025</t>
        </is>
      </c>
      <c r="B160" s="1" t="n">
        <v>45953.89262731482</v>
      </c>
      <c r="C160" s="1" t="n">
        <v>46039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52513-2025</t>
        </is>
      </c>
      <c r="B161" s="1" t="n">
        <v>45954.50944444445</v>
      </c>
      <c r="C161" s="1" t="n">
        <v>46039</v>
      </c>
      <c r="D161" t="inlineStr">
        <is>
          <t>VÄSTRA GÖTALANDS LÄN</t>
        </is>
      </c>
      <c r="E161" t="inlineStr">
        <is>
          <t>BOLLEBYGD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3237-2023</t>
        </is>
      </c>
      <c r="B162" s="1" t="n">
        <v>44946.84690972222</v>
      </c>
      <c r="C162" s="1" t="n">
        <v>46039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62986-2023</t>
        </is>
      </c>
      <c r="B163" s="1" t="n">
        <v>45272</v>
      </c>
      <c r="C163" s="1" t="n">
        <v>46039</v>
      </c>
      <c r="D163" t="inlineStr">
        <is>
          <t>VÄSTRA GÖTALANDS LÄN</t>
        </is>
      </c>
      <c r="E163" t="inlineStr">
        <is>
          <t>BOLLEBYGD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46039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52943-2025</t>
        </is>
      </c>
      <c r="B165" s="1" t="n">
        <v>45957.64331018519</v>
      </c>
      <c r="C165" s="1" t="n">
        <v>46039</v>
      </c>
      <c r="D165" t="inlineStr">
        <is>
          <t>VÄSTRA GÖTALANDS LÄN</t>
        </is>
      </c>
      <c r="E165" t="inlineStr">
        <is>
          <t>BOLLEBYGD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60946-2025</t>
        </is>
      </c>
      <c r="B166" s="1" t="n">
        <v>45999.64741898148</v>
      </c>
      <c r="C166" s="1" t="n">
        <v>46039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52939-2025</t>
        </is>
      </c>
      <c r="B167" s="1" t="n">
        <v>45957.63912037037</v>
      </c>
      <c r="C167" s="1" t="n">
        <v>46039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52942-2025</t>
        </is>
      </c>
      <c r="B168" s="1" t="n">
        <v>45957.64267361111</v>
      </c>
      <c r="C168" s="1" t="n">
        <v>46039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11605-2024</t>
        </is>
      </c>
      <c r="B169" s="1" t="n">
        <v>45373.39921296296</v>
      </c>
      <c r="C169" s="1" t="n">
        <v>46039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70708-2021</t>
        </is>
      </c>
      <c r="B170" s="1" t="n">
        <v>44537</v>
      </c>
      <c r="C170" s="1" t="n">
        <v>46039</v>
      </c>
      <c r="D170" t="inlineStr">
        <is>
          <t>VÄSTRA GÖTALANDS LÄN</t>
        </is>
      </c>
      <c r="E170" t="inlineStr">
        <is>
          <t>BOLLEBYGD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28201-2021</t>
        </is>
      </c>
      <c r="B171" s="1" t="n">
        <v>44355.6369675926</v>
      </c>
      <c r="C171" s="1" t="n">
        <v>46039</v>
      </c>
      <c r="D171" t="inlineStr">
        <is>
          <t>VÄSTRA GÖTALANDS LÄN</t>
        </is>
      </c>
      <c r="E171" t="inlineStr">
        <is>
          <t>BOLLEBYGD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15969-2025</t>
        </is>
      </c>
      <c r="B172" s="1" t="n">
        <v>45749.54825231482</v>
      </c>
      <c r="C172" s="1" t="n">
        <v>46039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59613-2023</t>
        </is>
      </c>
      <c r="B173" s="1" t="n">
        <v>45254.64126157408</v>
      </c>
      <c r="C173" s="1" t="n">
        <v>46039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1395-2024</t>
        </is>
      </c>
      <c r="B174" s="1" t="n">
        <v>45303</v>
      </c>
      <c r="C174" s="1" t="n">
        <v>46039</v>
      </c>
      <c r="D174" t="inlineStr">
        <is>
          <t>VÄSTRA GÖTALANDS LÄN</t>
        </is>
      </c>
      <c r="E174" t="inlineStr">
        <is>
          <t>BOLLEBYGD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3080-2024</t>
        </is>
      </c>
      <c r="B175" s="1" t="n">
        <v>45316</v>
      </c>
      <c r="C175" s="1" t="n">
        <v>46039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46039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54783-2025</t>
        </is>
      </c>
      <c r="B177" s="1" t="n">
        <v>45966.61938657407</v>
      </c>
      <c r="C177" s="1" t="n">
        <v>46039</v>
      </c>
      <c r="D177" t="inlineStr">
        <is>
          <t>VÄSTRA GÖTALANDS LÄN</t>
        </is>
      </c>
      <c r="E177" t="inlineStr">
        <is>
          <t>BOLLEBYGD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30633-2023</t>
        </is>
      </c>
      <c r="B178" s="1" t="n">
        <v>45112</v>
      </c>
      <c r="C178" s="1" t="n">
        <v>46039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23330-2024</t>
        </is>
      </c>
      <c r="B179" s="1" t="n">
        <v>45453.46866898148</v>
      </c>
      <c r="C179" s="1" t="n">
        <v>46039</v>
      </c>
      <c r="D179" t="inlineStr">
        <is>
          <t>VÄSTRA GÖTALANDS LÄN</t>
        </is>
      </c>
      <c r="E179" t="inlineStr">
        <is>
          <t>BOLLEBYGD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57036-2024</t>
        </is>
      </c>
      <c r="B180" s="1" t="n">
        <v>45629.2527662037</v>
      </c>
      <c r="C180" s="1" t="n">
        <v>46039</v>
      </c>
      <c r="D180" t="inlineStr">
        <is>
          <t>VÄSTRA GÖTALANDS LÄN</t>
        </is>
      </c>
      <c r="E180" t="inlineStr">
        <is>
          <t>BOLLEBYGD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36532-2024</t>
        </is>
      </c>
      <c r="B181" s="1" t="n">
        <v>45537.44701388889</v>
      </c>
      <c r="C181" s="1" t="n">
        <v>46039</v>
      </c>
      <c r="D181" t="inlineStr">
        <is>
          <t>VÄSTRA GÖTALANDS LÄN</t>
        </is>
      </c>
      <c r="E181" t="inlineStr">
        <is>
          <t>BOLLEBYGD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46039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12124-2024</t>
        </is>
      </c>
      <c r="B183" s="1" t="n">
        <v>45377</v>
      </c>
      <c r="C183" s="1" t="n">
        <v>46039</v>
      </c>
      <c r="D183" t="inlineStr">
        <is>
          <t>VÄSTRA GÖTALANDS LÄN</t>
        </is>
      </c>
      <c r="E183" t="inlineStr">
        <is>
          <t>BOLLEBYGD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55159-2024</t>
        </is>
      </c>
      <c r="B184" s="1" t="n">
        <v>45621.50773148148</v>
      </c>
      <c r="C184" s="1" t="n">
        <v>46039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46039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46039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53055-2024</t>
        </is>
      </c>
      <c r="B187" s="1" t="n">
        <v>45611.46429398148</v>
      </c>
      <c r="C187" s="1" t="n">
        <v>46039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56305-2025</t>
        </is>
      </c>
      <c r="B188" s="1" t="n">
        <v>45974.61175925926</v>
      </c>
      <c r="C188" s="1" t="n">
        <v>46039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56312-2025</t>
        </is>
      </c>
      <c r="B189" s="1" t="n">
        <v>45974.62810185185</v>
      </c>
      <c r="C189" s="1" t="n">
        <v>46039</v>
      </c>
      <c r="D189" t="inlineStr">
        <is>
          <t>VÄSTRA GÖTALANDS LÄN</t>
        </is>
      </c>
      <c r="E189" t="inlineStr">
        <is>
          <t>BOLLEBYGD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31889-2023</t>
        </is>
      </c>
      <c r="B190" s="1" t="n">
        <v>45118</v>
      </c>
      <c r="C190" s="1" t="n">
        <v>46039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48513-2021</t>
        </is>
      </c>
      <c r="B191" s="1" t="n">
        <v>44449</v>
      </c>
      <c r="C191" s="1" t="n">
        <v>46039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15112-2022</t>
        </is>
      </c>
      <c r="B192" s="1" t="n">
        <v>44658</v>
      </c>
      <c r="C192" s="1" t="n">
        <v>46039</v>
      </c>
      <c r="D192" t="inlineStr">
        <is>
          <t>VÄSTRA GÖTALANDS LÄN</t>
        </is>
      </c>
      <c r="E192" t="inlineStr">
        <is>
          <t>BOLLEBYGD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3238-2023</t>
        </is>
      </c>
      <c r="B193" s="1" t="n">
        <v>44946.84815972222</v>
      </c>
      <c r="C193" s="1" t="n">
        <v>46039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59472-2023</t>
        </is>
      </c>
      <c r="B194" s="1" t="n">
        <v>45254</v>
      </c>
      <c r="C194" s="1" t="n">
        <v>46039</v>
      </c>
      <c r="D194" t="inlineStr">
        <is>
          <t>VÄSTRA GÖTALANDS LÄN</t>
        </is>
      </c>
      <c r="E194" t="inlineStr">
        <is>
          <t>BOLLEBYGD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54144-2022</t>
        </is>
      </c>
      <c r="B195" s="1" t="n">
        <v>44881</v>
      </c>
      <c r="C195" s="1" t="n">
        <v>46039</v>
      </c>
      <c r="D195" t="inlineStr">
        <is>
          <t>VÄSTRA GÖTALANDS LÄN</t>
        </is>
      </c>
      <c r="E195" t="inlineStr">
        <is>
          <t>BOLLEBYGD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9530-2023</t>
        </is>
      </c>
      <c r="B196" s="1" t="n">
        <v>44981</v>
      </c>
      <c r="C196" s="1" t="n">
        <v>46039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22443-2023</t>
        </is>
      </c>
      <c r="B197" s="1" t="n">
        <v>45070</v>
      </c>
      <c r="C197" s="1" t="n">
        <v>46039</v>
      </c>
      <c r="D197" t="inlineStr">
        <is>
          <t>VÄSTRA GÖTALANDS LÄN</t>
        </is>
      </c>
      <c r="E197" t="inlineStr">
        <is>
          <t>BOLLEBYGD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2006-2024</t>
        </is>
      </c>
      <c r="B198" s="1" t="n">
        <v>45308</v>
      </c>
      <c r="C198" s="1" t="n">
        <v>46039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54295-2023</t>
        </is>
      </c>
      <c r="B199" s="1" t="n">
        <v>45232</v>
      </c>
      <c r="C199" s="1" t="n">
        <v>46039</v>
      </c>
      <c r="D199" t="inlineStr">
        <is>
          <t>VÄSTRA GÖTALANDS LÄN</t>
        </is>
      </c>
      <c r="E199" t="inlineStr">
        <is>
          <t>BOLLEBYGD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7339-2025</t>
        </is>
      </c>
      <c r="B200" s="1" t="n">
        <v>45703.51598379629</v>
      </c>
      <c r="C200" s="1" t="n">
        <v>46039</v>
      </c>
      <c r="D200" t="inlineStr">
        <is>
          <t>VÄSTRA GÖTALANDS LÄN</t>
        </is>
      </c>
      <c r="E200" t="inlineStr">
        <is>
          <t>BOLLEBYGD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61671-2022</t>
        </is>
      </c>
      <c r="B201" s="1" t="n">
        <v>44917.3327662037</v>
      </c>
      <c r="C201" s="1" t="n">
        <v>46039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51229-2022</t>
        </is>
      </c>
      <c r="B202" s="1" t="n">
        <v>44868</v>
      </c>
      <c r="C202" s="1" t="n">
        <v>46039</v>
      </c>
      <c r="D202" t="inlineStr">
        <is>
          <t>VÄSTRA GÖTALANDS LÄN</t>
        </is>
      </c>
      <c r="E202" t="inlineStr">
        <is>
          <t>BOLLEBYGD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30745-2023</t>
        </is>
      </c>
      <c r="B203" s="1" t="n">
        <v>45112</v>
      </c>
      <c r="C203" s="1" t="n">
        <v>46039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30801-2023</t>
        </is>
      </c>
      <c r="B204" s="1" t="n">
        <v>45112.78192129629</v>
      </c>
      <c r="C204" s="1" t="n">
        <v>46039</v>
      </c>
      <c r="D204" t="inlineStr">
        <is>
          <t>VÄSTRA GÖTALANDS LÄN</t>
        </is>
      </c>
      <c r="E204" t="inlineStr">
        <is>
          <t>BOLLEBYGD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56331-2024</t>
        </is>
      </c>
      <c r="B205" s="1" t="n">
        <v>45624.79915509259</v>
      </c>
      <c r="C205" s="1" t="n">
        <v>46039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61334-2022</t>
        </is>
      </c>
      <c r="B206" s="1" t="n">
        <v>44915</v>
      </c>
      <c r="C206" s="1" t="n">
        <v>46039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30793-2023</t>
        </is>
      </c>
      <c r="B207" s="1" t="n">
        <v>45112.74090277778</v>
      </c>
      <c r="C207" s="1" t="n">
        <v>46039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30795-2023</t>
        </is>
      </c>
      <c r="B208" s="1" t="n">
        <v>45112.75636574074</v>
      </c>
      <c r="C208" s="1" t="n">
        <v>46039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30724-2023</t>
        </is>
      </c>
      <c r="B209" s="1" t="n">
        <v>45112</v>
      </c>
      <c r="C209" s="1" t="n">
        <v>46039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54311-2022</t>
        </is>
      </c>
      <c r="B210" s="1" t="n">
        <v>44882.41185185185</v>
      </c>
      <c r="C210" s="1" t="n">
        <v>46039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58010-2022</t>
        </is>
      </c>
      <c r="B211" s="1" t="n">
        <v>44900</v>
      </c>
      <c r="C211" s="1" t="n">
        <v>46039</v>
      </c>
      <c r="D211" t="inlineStr">
        <is>
          <t>VÄSTRA GÖTALANDS LÄN</t>
        </is>
      </c>
      <c r="E211" t="inlineStr">
        <is>
          <t>BOLLEBYGD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58011-2022</t>
        </is>
      </c>
      <c r="B212" s="1" t="n">
        <v>44900</v>
      </c>
      <c r="C212" s="1" t="n">
        <v>46039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56334-2024</t>
        </is>
      </c>
      <c r="B213" s="1" t="n">
        <v>45624.80081018519</v>
      </c>
      <c r="C213" s="1" t="n">
        <v>46039</v>
      </c>
      <c r="D213" t="inlineStr">
        <is>
          <t>VÄSTRA GÖTALANDS LÄN</t>
        </is>
      </c>
      <c r="E213" t="inlineStr">
        <is>
          <t>BOLLEBYGD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61026-2022</t>
        </is>
      </c>
      <c r="B214" s="1" t="n">
        <v>44914.8635300926</v>
      </c>
      <c r="C214" s="1" t="n">
        <v>46039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63725-2023</t>
        </is>
      </c>
      <c r="B215" s="1" t="n">
        <v>45276</v>
      </c>
      <c r="C215" s="1" t="n">
        <v>46039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46039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30637-2023</t>
        </is>
      </c>
      <c r="B217" s="1" t="n">
        <v>45112.46177083333</v>
      </c>
      <c r="C217" s="1" t="n">
        <v>46039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46039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46039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46039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6064-2025</t>
        </is>
      </c>
      <c r="B221" s="1" t="n">
        <v>45696.28527777778</v>
      </c>
      <c r="C221" s="1" t="n">
        <v>46039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38586-2023</t>
        </is>
      </c>
      <c r="B222" s="1" t="n">
        <v>45162.63375</v>
      </c>
      <c r="C222" s="1" t="n">
        <v>46039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25938-2021</t>
        </is>
      </c>
      <c r="B223" s="1" t="n">
        <v>44344</v>
      </c>
      <c r="C223" s="1" t="n">
        <v>46039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31746-2023</t>
        </is>
      </c>
      <c r="B224" s="1" t="n">
        <v>45117</v>
      </c>
      <c r="C224" s="1" t="n">
        <v>46039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30772-2023</t>
        </is>
      </c>
      <c r="B225" s="1" t="n">
        <v>45112</v>
      </c>
      <c r="C225" s="1" t="n">
        <v>46039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31711-2023</t>
        </is>
      </c>
      <c r="B226" s="1" t="n">
        <v>45117.82019675926</v>
      </c>
      <c r="C226" s="1" t="n">
        <v>46039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31727-2023</t>
        </is>
      </c>
      <c r="B227" s="1" t="n">
        <v>45117</v>
      </c>
      <c r="C227" s="1" t="n">
        <v>46039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31728-2023</t>
        </is>
      </c>
      <c r="B228" s="1" t="n">
        <v>45117</v>
      </c>
      <c r="C228" s="1" t="n">
        <v>46039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46039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46039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18305-2025</t>
        </is>
      </c>
      <c r="B231" s="1" t="n">
        <v>45762.43462962963</v>
      </c>
      <c r="C231" s="1" t="n">
        <v>46039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46039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50647-2021</t>
        </is>
      </c>
      <c r="B233" s="1" t="n">
        <v>44459</v>
      </c>
      <c r="C233" s="1" t="n">
        <v>46039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47980-2023</t>
        </is>
      </c>
      <c r="B234" s="1" t="n">
        <v>45204</v>
      </c>
      <c r="C234" s="1" t="n">
        <v>46039</v>
      </c>
      <c r="D234" t="inlineStr">
        <is>
          <t>VÄSTRA GÖTALANDS LÄN</t>
        </is>
      </c>
      <c r="E234" t="inlineStr">
        <is>
          <t>BOLLEBYGD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52100-2023</t>
        </is>
      </c>
      <c r="B235" s="1" t="n">
        <v>45223</v>
      </c>
      <c r="C235" s="1" t="n">
        <v>46039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8570-2025</t>
        </is>
      </c>
      <c r="B236" s="1" t="n">
        <v>45709.64003472222</v>
      </c>
      <c r="C236" s="1" t="n">
        <v>46039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46039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18337-2023</t>
        </is>
      </c>
      <c r="B238" s="1" t="n">
        <v>45041</v>
      </c>
      <c r="C238" s="1" t="n">
        <v>46039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38074-2023</t>
        </is>
      </c>
      <c r="B239" s="1" t="n">
        <v>45160.78711805555</v>
      </c>
      <c r="C239" s="1" t="n">
        <v>46039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50981-2023</t>
        </is>
      </c>
      <c r="B240" s="1" t="n">
        <v>45218.52822916667</v>
      </c>
      <c r="C240" s="1" t="n">
        <v>46039</v>
      </c>
      <c r="D240" t="inlineStr">
        <is>
          <t>VÄSTRA GÖTALANDS LÄN</t>
        </is>
      </c>
      <c r="E240" t="inlineStr">
        <is>
          <t>BOLLEBYGD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56452-2022</t>
        </is>
      </c>
      <c r="B241" s="1" t="n">
        <v>44893.2884375</v>
      </c>
      <c r="C241" s="1" t="n">
        <v>46039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58093-2023</t>
        </is>
      </c>
      <c r="B242" s="1" t="n">
        <v>45248</v>
      </c>
      <c r="C242" s="1" t="n">
        <v>46039</v>
      </c>
      <c r="D242" t="inlineStr">
        <is>
          <t>VÄSTRA GÖTALANDS LÄN</t>
        </is>
      </c>
      <c r="E242" t="inlineStr">
        <is>
          <t>BOLLEBYGD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64207-2021</t>
        </is>
      </c>
      <c r="B243" s="1" t="n">
        <v>44510.61469907407</v>
      </c>
      <c r="C243" s="1" t="n">
        <v>46039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27103-2024</t>
        </is>
      </c>
      <c r="B244" s="1" t="n">
        <v>45471.4950462963</v>
      </c>
      <c r="C244" s="1" t="n">
        <v>46039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57443-2024</t>
        </is>
      </c>
      <c r="B245" s="1" t="n">
        <v>45629.8953587963</v>
      </c>
      <c r="C245" s="1" t="n">
        <v>46039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21573-2025</t>
        </is>
      </c>
      <c r="B246" s="1" t="n">
        <v>45782.82457175926</v>
      </c>
      <c r="C246" s="1" t="n">
        <v>46039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21575-2025</t>
        </is>
      </c>
      <c r="B247" s="1" t="n">
        <v>45782.8308912037</v>
      </c>
      <c r="C247" s="1" t="n">
        <v>46039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21878-2025</t>
        </is>
      </c>
      <c r="B248" s="1" t="n">
        <v>45784.40392361111</v>
      </c>
      <c r="C248" s="1" t="n">
        <v>46039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23906-2024</t>
        </is>
      </c>
      <c r="B249" s="1" t="n">
        <v>45455.80586805556</v>
      </c>
      <c r="C249" s="1" t="n">
        <v>46039</v>
      </c>
      <c r="D249" t="inlineStr">
        <is>
          <t>VÄSTRA GÖTALANDS LÄN</t>
        </is>
      </c>
      <c r="E249" t="inlineStr">
        <is>
          <t>BOLLEBYGD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21574-2025</t>
        </is>
      </c>
      <c r="B250" s="1" t="n">
        <v>45782.82858796296</v>
      </c>
      <c r="C250" s="1" t="n">
        <v>46039</v>
      </c>
      <c r="D250" t="inlineStr">
        <is>
          <t>VÄSTRA GÖTALANDS LÄN</t>
        </is>
      </c>
      <c r="E250" t="inlineStr">
        <is>
          <t>BOLLEBYGD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23907-2024</t>
        </is>
      </c>
      <c r="B251" s="1" t="n">
        <v>45455.80972222222</v>
      </c>
      <c r="C251" s="1" t="n">
        <v>46039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22424-2025</t>
        </is>
      </c>
      <c r="B252" s="1" t="n">
        <v>45786.56738425926</v>
      </c>
      <c r="C252" s="1" t="n">
        <v>46039</v>
      </c>
      <c r="D252" t="inlineStr">
        <is>
          <t>VÄSTRA GÖTALANDS LÄN</t>
        </is>
      </c>
      <c r="E252" t="inlineStr">
        <is>
          <t>BOLLEBYGD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43938-2024</t>
        </is>
      </c>
      <c r="B253" s="1" t="n">
        <v>45572.46334490741</v>
      </c>
      <c r="C253" s="1" t="n">
        <v>46039</v>
      </c>
      <c r="D253" t="inlineStr">
        <is>
          <t>VÄSTRA GÖTALANDS LÄN</t>
        </is>
      </c>
      <c r="E253" t="inlineStr">
        <is>
          <t>BOLLEBYGD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23311-2025</t>
        </is>
      </c>
      <c r="B254" s="1" t="n">
        <v>45791.60857638889</v>
      </c>
      <c r="C254" s="1" t="n">
        <v>46039</v>
      </c>
      <c r="D254" t="inlineStr">
        <is>
          <t>VÄSTRA GÖTALANDS LÄN</t>
        </is>
      </c>
      <c r="E254" t="inlineStr">
        <is>
          <t>BOLLEBYGD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25089-2025</t>
        </is>
      </c>
      <c r="B255" s="1" t="n">
        <v>45800.31393518519</v>
      </c>
      <c r="C255" s="1" t="n">
        <v>46039</v>
      </c>
      <c r="D255" t="inlineStr">
        <is>
          <t>VÄSTRA GÖTALANDS LÄN</t>
        </is>
      </c>
      <c r="E255" t="inlineStr">
        <is>
          <t>BOLLEBYGD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25694-2025</t>
        </is>
      </c>
      <c r="B256" s="1" t="n">
        <v>45803.66457175926</v>
      </c>
      <c r="C256" s="1" t="n">
        <v>46039</v>
      </c>
      <c r="D256" t="inlineStr">
        <is>
          <t>VÄSTRA GÖTALANDS LÄN</t>
        </is>
      </c>
      <c r="E256" t="inlineStr">
        <is>
          <t>BOLLEBYGD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25698-2025</t>
        </is>
      </c>
      <c r="B257" s="1" t="n">
        <v>45803.66721064815</v>
      </c>
      <c r="C257" s="1" t="n">
        <v>46039</v>
      </c>
      <c r="D257" t="inlineStr">
        <is>
          <t>VÄSTRA GÖTALANDS LÄN</t>
        </is>
      </c>
      <c r="E257" t="inlineStr">
        <is>
          <t>BOLLEBYGD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9086-2025</t>
        </is>
      </c>
      <c r="B258" s="1" t="n">
        <v>45713.67104166667</v>
      </c>
      <c r="C258" s="1" t="n">
        <v>46039</v>
      </c>
      <c r="D258" t="inlineStr">
        <is>
          <t>VÄSTRA GÖTALANDS LÄN</t>
        </is>
      </c>
      <c r="E258" t="inlineStr">
        <is>
          <t>BOLLEBYGD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28073-2024</t>
        </is>
      </c>
      <c r="B259" s="1" t="n">
        <v>45476.58127314815</v>
      </c>
      <c r="C259" s="1" t="n">
        <v>46039</v>
      </c>
      <c r="D259" t="inlineStr">
        <is>
          <t>VÄSTRA GÖTALANDS LÄN</t>
        </is>
      </c>
      <c r="E259" t="inlineStr">
        <is>
          <t>BOLLEBYGD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29306-2025</t>
        </is>
      </c>
      <c r="B260" s="1" t="n">
        <v>45824.45997685185</v>
      </c>
      <c r="C260" s="1" t="n">
        <v>46039</v>
      </c>
      <c r="D260" t="inlineStr">
        <is>
          <t>VÄSTRA GÖTALANDS LÄN</t>
        </is>
      </c>
      <c r="E260" t="inlineStr">
        <is>
          <t>BOLLEBYGD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29794-2025</t>
        </is>
      </c>
      <c r="B261" s="1" t="n">
        <v>45825.66684027778</v>
      </c>
      <c r="C261" s="1" t="n">
        <v>46039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14032-2025</t>
        </is>
      </c>
      <c r="B262" s="1" t="n">
        <v>45740.35876157408</v>
      </c>
      <c r="C262" s="1" t="n">
        <v>46039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10918-2025</t>
        </is>
      </c>
      <c r="B263" s="1" t="n">
        <v>45722.77650462963</v>
      </c>
      <c r="C263" s="1" t="n">
        <v>46039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9471-2025</t>
        </is>
      </c>
      <c r="B264" s="1" t="n">
        <v>45715.47013888889</v>
      </c>
      <c r="C264" s="1" t="n">
        <v>46039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31804-2025</t>
        </is>
      </c>
      <c r="B265" s="1" t="n">
        <v>45834.55309027778</v>
      </c>
      <c r="C265" s="1" t="n">
        <v>46039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31594-2025</t>
        </is>
      </c>
      <c r="B266" s="1" t="n">
        <v>45833.70512731482</v>
      </c>
      <c r="C266" s="1" t="n">
        <v>46039</v>
      </c>
      <c r="D266" t="inlineStr">
        <is>
          <t>VÄSTRA GÖTALANDS LÄN</t>
        </is>
      </c>
      <c r="E266" t="inlineStr">
        <is>
          <t>BOLLEBYGD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32509-2025</t>
        </is>
      </c>
      <c r="B267" s="1" t="n">
        <v>45838.4722800926</v>
      </c>
      <c r="C267" s="1" t="n">
        <v>46039</v>
      </c>
      <c r="D267" t="inlineStr">
        <is>
          <t>VÄSTRA GÖTALANDS LÄN</t>
        </is>
      </c>
      <c r="E267" t="inlineStr">
        <is>
          <t>BOLLEBYGD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32506-2025</t>
        </is>
      </c>
      <c r="B268" s="1" t="n">
        <v>45838.4687037037</v>
      </c>
      <c r="C268" s="1" t="n">
        <v>46039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32320-2025</t>
        </is>
      </c>
      <c r="B269" s="1" t="n">
        <v>45836.4041087963</v>
      </c>
      <c r="C269" s="1" t="n">
        <v>46039</v>
      </c>
      <c r="D269" t="inlineStr">
        <is>
          <t>VÄSTRA GÖTALANDS LÄN</t>
        </is>
      </c>
      <c r="E269" t="inlineStr">
        <is>
          <t>BOLLEBYGD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32862-2025</t>
        </is>
      </c>
      <c r="B270" s="1" t="n">
        <v>45839.5834837963</v>
      </c>
      <c r="C270" s="1" t="n">
        <v>46039</v>
      </c>
      <c r="D270" t="inlineStr">
        <is>
          <t>VÄSTRA GÖTALANDS LÄN</t>
        </is>
      </c>
      <c r="E270" t="inlineStr">
        <is>
          <t>BOLLEBYGD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11981-2025</t>
        </is>
      </c>
      <c r="B271" s="1" t="n">
        <v>45728</v>
      </c>
      <c r="C271" s="1" t="n">
        <v>46039</v>
      </c>
      <c r="D271" t="inlineStr">
        <is>
          <t>VÄSTRA GÖTALANDS LÄN</t>
        </is>
      </c>
      <c r="E271" t="inlineStr">
        <is>
          <t>BOLLEBYGD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2026-01-17T10:54:51Z</dcterms:created>
  <dcterms:modified xmlns:dcterms="http://purl.org/dc/terms/" xmlns:xsi="http://www.w3.org/2001/XMLSchema-instance" xsi:type="dcterms:W3CDTF">2026-01-17T10:54:52Z</dcterms:modified>
</cp:coreProperties>
</file>