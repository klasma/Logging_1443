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46258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46258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46258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31728-2023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45117</v>
      </c>
      <c r="E7" s="1" t="n">
        <v>46258</v>
      </c>
      <c r="F7" t="inlineStr">
        <is>
          <t>VÄSTRA GÖTALANDS LÄN</t>
        </is>
      </c>
      <c r="G7" t="inlineStr">
        <is>
          <t>BOLLEBYGD</t>
        </is>
      </c>
      <c r="I7" t="n">
        <v>0.6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Gammelgransskål
Kattfotslav
Spillkråka</t>
        </is>
      </c>
      <c r="W7">
        <f>HYPERLINK("https://klasma.github.io/Logging_1443/artfynd/A 31728-2023 artfynd.xlsx", "A 31728-2023")</f>
        <v/>
      </c>
      <c r="X7">
        <f>HYPERLINK("https://klasma.github.io/Logging_1443/kartor/A 31728-2023 karta.png", "A 31728-2023")</f>
        <v/>
      </c>
      <c r="Y7">
        <f>HYPERLINK("https://klasma.github.io/Logging_1443/kartor_geotiff/A 31728-2023 georefererad karta.tif", "A 31728-2023")</f>
        <v/>
      </c>
      <c r="AA7">
        <f>HYPERLINK("https://klasma.github.io/Logging_1443/klagomål/A 31728-2023 FSC-klagomål.docx", "A 31728-2023")</f>
        <v/>
      </c>
      <c r="AB7">
        <f>HYPERLINK("https://klasma.github.io/Logging_1443/klagomålsmail/A 31728-2023 FSC-klagomål mail.docx", "A 31728-2023")</f>
        <v/>
      </c>
      <c r="AC7">
        <f>HYPERLINK("https://klasma.github.io/Logging_1443/tillsyn/A 31728-2023 tillsynsbegäran.docx", "A 31728-2023")</f>
        <v/>
      </c>
      <c r="AD7">
        <f>HYPERLINK("https://klasma.github.io/Logging_1443/tillsynsmail/A 31728-2023 tillsynsbegäran mail.docx", "A 31728-2023")</f>
        <v/>
      </c>
      <c r="AE7">
        <f>HYPERLINK("https://klasma.github.io/Logging_1443/fåglar/A 31728-2023 prioriterade fågelarter.docx", "A 31728-2023")</f>
        <v/>
      </c>
    </row>
    <row r="8" ht="15" customHeight="1">
      <c r="A8" t="inlineStr">
        <is>
          <t>A 30671-2023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46258</v>
      </c>
      <c r="F8" t="inlineStr">
        <is>
          <t>VÄSTRA GÖTALANDS LÄN</t>
        </is>
      </c>
      <c r="G8" t="inlineStr">
        <is>
          <t>BOLLEBYGD</t>
        </is>
      </c>
      <c r="I8" t="n">
        <v>4.9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12</v>
      </c>
      <c r="U8" t="n">
        <v>10</v>
      </c>
      <c r="V8" s="2" t="inlineStr">
        <is>
          <t>Knärot
Järnsparv
Spillkråka</t>
        </is>
      </c>
      <c r="W8">
        <f>HYPERLINK("https://klasma.github.io/Logging_1443/artfynd/A 30671-2023 artfynd.xlsx", "A 30671-2023")</f>
        <v/>
      </c>
      <c r="X8">
        <f>HYPERLINK("https://klasma.github.io/Logging_1443/kartor/A 30671-2023 karta.png", "A 30671-2023")</f>
        <v/>
      </c>
      <c r="Y8">
        <f>HYPERLINK("https://klasma.github.io/Logging_1443/kartor_geotiff/A 30671-2023 georefererad karta.tif", "A 30671-2023")</f>
        <v/>
      </c>
      <c r="Z8">
        <f>HYPERLINK("https://klasma.github.io/Logging_1443/knärot/A 30671-2023 karta knärot.png", "A 30671-2023")</f>
        <v/>
      </c>
      <c r="AA8">
        <f>HYPERLINK("https://klasma.github.io/Logging_1443/klagomål/A 30671-2023 FSC-klagomål.docx", "A 30671-2023")</f>
        <v/>
      </c>
      <c r="AB8">
        <f>HYPERLINK("https://klasma.github.io/Logging_1443/klagomålsmail/A 30671-2023 FSC-klagomål mail.docx", "A 30671-2023")</f>
        <v/>
      </c>
      <c r="AC8">
        <f>HYPERLINK("https://klasma.github.io/Logging_1443/tillsyn/A 30671-2023 tillsynsbegäran.docx", "A 30671-2023")</f>
        <v/>
      </c>
      <c r="AD8">
        <f>HYPERLINK("https://klasma.github.io/Logging_1443/tillsynsmail/A 30671-2023 tillsynsbegäran mail.docx", "A 30671-2023")</f>
        <v/>
      </c>
      <c r="AE8">
        <f>HYPERLINK("https://klasma.github.io/Logging_1443/fåglar/A 30671-2023 prioriterade fågelarter.docx", "A 30671-2023")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46258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46258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46258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46258</v>
      </c>
      <c r="F12" t="inlineStr">
        <is>
          <t>VÄSTRA GÖTALANDS LÄN</t>
        </is>
      </c>
      <c r="G12" t="inlineStr">
        <is>
          <t>BOLLEBYGD</t>
        </is>
      </c>
      <c r="I12" t="n">
        <v>1.1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Talltita
Tjäder</t>
        </is>
      </c>
      <c r="W12">
        <f>HYPERLINK("https://klasma.github.io/Logging_1443/artfynd/A 30666-2023 artfynd.xlsx", "A 30666-2023")</f>
        <v/>
      </c>
      <c r="X12">
        <f>HYPERLINK("https://klasma.github.io/Logging_1443/kartor/A 30666-2023 karta.png", "A 30666-2023")</f>
        <v/>
      </c>
      <c r="Y12">
        <f>HYPERLINK("https://klasma.github.io/Logging_1443/kartor_geotiff/A 30666-2023 georefererad karta.tif", "A 30666-2023")</f>
        <v/>
      </c>
      <c r="AA12">
        <f>HYPERLINK("https://klasma.github.io/Logging_1443/klagomål/A 30666-2023 FSC-klagomål.docx", "A 30666-2023")</f>
        <v/>
      </c>
      <c r="AB12">
        <f>HYPERLINK("https://klasma.github.io/Logging_1443/klagomålsmail/A 30666-2023 FSC-klagomål mail.docx", "A 30666-2023")</f>
        <v/>
      </c>
      <c r="AC12">
        <f>HYPERLINK("https://klasma.github.io/Logging_1443/tillsyn/A 30666-2023 tillsynsbegäran.docx", "A 30666-2023")</f>
        <v/>
      </c>
      <c r="AD12">
        <f>HYPERLINK("https://klasma.github.io/Logging_1443/tillsynsmail/A 30666-2023 tillsynsbegäran mail.docx", "A 30666-2023")</f>
        <v/>
      </c>
      <c r="AE12">
        <f>HYPERLINK("https://klasma.github.io/Logging_1443/fåglar/A 30666-2023 prioriterade fågelarter.docx", "A 30666-2023")</f>
        <v/>
      </c>
    </row>
    <row r="13" ht="15" customHeight="1">
      <c r="A13" t="inlineStr">
        <is>
          <t>A 26670-2026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46258</v>
      </c>
      <c r="F13" t="inlineStr">
        <is>
          <t>VÄSTRA GÖTALANDS LÄN</t>
        </is>
      </c>
      <c r="G13" t="inlineStr">
        <is>
          <t>BOLLEBYGD</t>
        </is>
      </c>
      <c r="I13" t="n">
        <v>15.4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Tofsmes
Grönsiska</t>
        </is>
      </c>
      <c r="W13">
        <f>HYPERLINK("https://klasma.github.io/Logging_1443/artfynd/A 26670-2026 artfynd.xlsx", "A 26670-2026")</f>
        <v/>
      </c>
      <c r="X13">
        <f>HYPERLINK("https://klasma.github.io/Logging_1443/kartor/A 26670-2026 karta.png", "A 26670-2026")</f>
        <v/>
      </c>
      <c r="Y13">
        <f>HYPERLINK("https://klasma.github.io/Logging_1443/kartor_geotiff/A 26670-2026 georefererad karta.tif", "A 26670-2026")</f>
        <v/>
      </c>
      <c r="AA13">
        <f>HYPERLINK("https://klasma.github.io/Logging_1443/klagomål/A 26670-2026 FSC-klagomål.docx", "A 26670-2026")</f>
        <v/>
      </c>
      <c r="AB13">
        <f>HYPERLINK("https://klasma.github.io/Logging_1443/klagomålsmail/A 26670-2026 FSC-klagomål mail.docx", "A 26670-2026")</f>
        <v/>
      </c>
      <c r="AC13">
        <f>HYPERLINK("https://klasma.github.io/Logging_1443/tillsyn/A 26670-2026 tillsynsbegäran.docx", "A 26670-2026")</f>
        <v/>
      </c>
      <c r="AD13">
        <f>HYPERLINK("https://klasma.github.io/Logging_1443/tillsynsmail/A 26670-2026 tillsynsbegäran mail.docx", "A 26670-2026")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46258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46258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46258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46258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46258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30653-2023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46258</v>
      </c>
      <c r="F19" t="inlineStr">
        <is>
          <t>VÄSTRA GÖTALANDS LÄN</t>
        </is>
      </c>
      <c r="G19" t="inlineStr">
        <is>
          <t>BOLLEBYGD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HYPERLINK("https://klasma.github.io/Logging_1443/artfynd/A 30653-2023 artfynd.xlsx", "A 30653-2023")</f>
        <v/>
      </c>
      <c r="X19">
        <f>HYPERLINK("https://klasma.github.io/Logging_1443/kartor/A 30653-2023 karta.png", "A 30653-2023")</f>
        <v/>
      </c>
      <c r="Y19">
        <f>HYPERLINK("https://klasma.github.io/Logging_1443/kartor_geotiff/A 30653-2023 georefererad karta.tif", "A 30653-2023")</f>
        <v/>
      </c>
      <c r="AA19">
        <f>HYPERLINK("https://klasma.github.io/Logging_1443/klagomål/A 30653-2023 FSC-klagomål.docx", "A 30653-2023")</f>
        <v/>
      </c>
      <c r="AB19">
        <f>HYPERLINK("https://klasma.github.io/Logging_1443/klagomålsmail/A 30653-2023 FSC-klagomål mail.docx", "A 30653-2023")</f>
        <v/>
      </c>
      <c r="AC19">
        <f>HYPERLINK("https://klasma.github.io/Logging_1443/tillsyn/A 30653-2023 tillsynsbegäran.docx", "A 30653-2023")</f>
        <v/>
      </c>
      <c r="AD19">
        <f>HYPERLINK("https://klasma.github.io/Logging_1443/tillsynsmail/A 30653-2023 tillsynsbegäran mail.docx", "A 30653-2023")</f>
        <v/>
      </c>
      <c r="AE19">
        <f>HYPERLINK("https://klasma.github.io/Logging_1443/fåglar/A 30653-2023 prioriterade fågelarter.docx", "A 30653-2023")</f>
        <v/>
      </c>
    </row>
    <row r="20" ht="15" customHeight="1">
      <c r="A20" t="inlineStr">
        <is>
          <t>A 30754-2023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46258</v>
      </c>
      <c r="F20" t="inlineStr">
        <is>
          <t>VÄSTRA GÖTALANDS LÄN</t>
        </is>
      </c>
      <c r="G20" t="inlineStr">
        <is>
          <t>BOLLEBYGD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30754-2023 artfynd.xlsx", "A 30754-2023")</f>
        <v/>
      </c>
      <c r="X20">
        <f>HYPERLINK("https://klasma.github.io/Logging_1443/kartor/A 30754-2023 karta.png", "A 30754-2023")</f>
        <v/>
      </c>
      <c r="Y20">
        <f>HYPERLINK("https://klasma.github.io/Logging_1443/kartor_geotiff/A 30754-2023 georefererad karta.tif", "A 30754-2023")</f>
        <v/>
      </c>
      <c r="AA20">
        <f>HYPERLINK("https://klasma.github.io/Logging_1443/klagomål/A 30754-2023 FSC-klagomål.docx", "A 30754-2023")</f>
        <v/>
      </c>
      <c r="AB20">
        <f>HYPERLINK("https://klasma.github.io/Logging_1443/klagomålsmail/A 30754-2023 FSC-klagomål mail.docx", "A 30754-2023")</f>
        <v/>
      </c>
      <c r="AC20">
        <f>HYPERLINK("https://klasma.github.io/Logging_1443/tillsyn/A 30754-2023 tillsynsbegäran.docx", "A 30754-2023")</f>
        <v/>
      </c>
      <c r="AD20">
        <f>HYPERLINK("https://klasma.github.io/Logging_1443/tillsynsmail/A 30754-2023 tillsynsbegäran mail.docx", "A 30754-2023")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46258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46258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46258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46258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35491-2023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46258</v>
      </c>
      <c r="F25" t="inlineStr">
        <is>
          <t>VÄSTRA GÖTALANDS LÄN</t>
        </is>
      </c>
      <c r="G25" t="inlineStr">
        <is>
          <t>BOLLEBYGD</t>
        </is>
      </c>
      <c r="I25" t="n">
        <v>3.5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HYPERLINK("https://klasma.github.io/Logging_1443/artfynd/A 35491-2023 artfynd.xlsx", "A 35491-2023")</f>
        <v/>
      </c>
      <c r="X25">
        <f>HYPERLINK("https://klasma.github.io/Logging_1443/kartor/A 35491-2023 karta.png", "A 35491-2023")</f>
        <v/>
      </c>
      <c r="Y25">
        <f>HYPERLINK("https://klasma.github.io/Logging_1443/kartor_geotiff/A 35491-2023 georefererad karta.tif", "A 35491-2023")</f>
        <v/>
      </c>
      <c r="Z25">
        <f>HYPERLINK("https://klasma.github.io/Logging_1443/knärot/A 35491-2023 karta knärot.png", "A 35491-2023")</f>
        <v/>
      </c>
      <c r="AA25">
        <f>HYPERLINK("https://klasma.github.io/Logging_1443/klagomål/A 35491-2023 FSC-klagomål.docx", "A 35491-2023")</f>
        <v/>
      </c>
      <c r="AB25">
        <f>HYPERLINK("https://klasma.github.io/Logging_1443/klagomålsmail/A 35491-2023 FSC-klagomål mail.docx", "A 35491-2023")</f>
        <v/>
      </c>
      <c r="AC25">
        <f>HYPERLINK("https://klasma.github.io/Logging_1443/tillsyn/A 35491-2023 tillsynsbegäran.docx", "A 35491-2023")</f>
        <v/>
      </c>
      <c r="AD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46258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46258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46258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46258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46258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46258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46258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46258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46258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46258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46258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46258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45254</v>
      </c>
      <c r="E39" s="1" t="n">
        <v>46258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46258</v>
      </c>
      <c r="F40" t="inlineStr">
        <is>
          <t>VÄSTRA GÖTALANDS LÄN</t>
        </is>
      </c>
      <c r="G40" t="inlineStr">
        <is>
          <t>BOLLEBYGD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46258</v>
      </c>
      <c r="F41" t="inlineStr">
        <is>
          <t>VÄSTRA GÖTALANDS LÄN</t>
        </is>
      </c>
      <c r="G41" t="inlineStr">
        <is>
          <t>BOLLEBYGD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69413-2021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44531</v>
      </c>
      <c r="E42" s="1" t="n">
        <v>46258</v>
      </c>
      <c r="F42" t="inlineStr">
        <is>
          <t>VÄSTRA GÖTALANDS LÄN</t>
        </is>
      </c>
      <c r="G42" t="inlineStr">
        <is>
          <t>BOLLEBYGD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46258</v>
      </c>
      <c r="F43" t="inlineStr">
        <is>
          <t>VÄSTRA GÖTALANDS LÄN</t>
        </is>
      </c>
      <c r="G43" t="inlineStr">
        <is>
          <t>BOLLEBYGD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45713</v>
      </c>
      <c r="E44" s="1" t="n">
        <v>46258</v>
      </c>
      <c r="F44" t="inlineStr">
        <is>
          <t>VÄSTRA GÖTALANDS LÄN</t>
        </is>
      </c>
      <c r="G44" t="inlineStr">
        <is>
          <t>BOLLEBYGD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46258</v>
      </c>
      <c r="F45" t="inlineStr">
        <is>
          <t>VÄSTRA GÖTALANDS LÄN</t>
        </is>
      </c>
      <c r="G45" t="inlineStr">
        <is>
          <t>BOLLEBYGD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46258</v>
      </c>
      <c r="F46" t="inlineStr">
        <is>
          <t>VÄSTRA GÖTALANDS LÄN</t>
        </is>
      </c>
      <c r="G46" t="inlineStr">
        <is>
          <t>BOLLEBYGD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46258</v>
      </c>
      <c r="F47" t="inlineStr">
        <is>
          <t>VÄSTRA GÖTALANDS LÄN</t>
        </is>
      </c>
      <c r="G47" t="inlineStr">
        <is>
          <t>BOLLEBYGD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46258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46258</v>
      </c>
      <c r="F49" t="inlineStr">
        <is>
          <t>VÄSTRA GÖTALANDS LÄN</t>
        </is>
      </c>
      <c r="G49" t="inlineStr">
        <is>
          <t>BOLLEBYGD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46258</v>
      </c>
      <c r="F50" t="inlineStr">
        <is>
          <t>VÄSTRA GÖTALANDS LÄN</t>
        </is>
      </c>
      <c r="G50" t="inlineStr">
        <is>
          <t>BOLLEBYGD</t>
        </is>
      </c>
      <c r="H50" t="inlineStr">
        <is>
          <t>Sveaskog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45118</v>
      </c>
      <c r="E51" s="1" t="n">
        <v>46258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45288</v>
      </c>
      <c r="E52" s="1" t="n">
        <v>46258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46258</v>
      </c>
      <c r="F53" t="inlineStr">
        <is>
          <t>VÄSTRA GÖTALANDS LÄN</t>
        </is>
      </c>
      <c r="G53" t="inlineStr">
        <is>
          <t>BOLLEBYGD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45561</v>
      </c>
      <c r="E54" s="1" t="n">
        <v>46258</v>
      </c>
      <c r="F54" t="inlineStr">
        <is>
          <t>VÄSTRA GÖTALANDS LÄN</t>
        </is>
      </c>
      <c r="G54" t="inlineStr">
        <is>
          <t>BOLLEBYGD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46258</v>
      </c>
      <c r="F55" t="inlineStr">
        <is>
          <t>VÄSTRA GÖTALANDS LÄN</t>
        </is>
      </c>
      <c r="G55" t="inlineStr">
        <is>
          <t>BOLLEBYGD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45328</v>
      </c>
      <c r="E56" s="1" t="n">
        <v>46258</v>
      </c>
      <c r="F56" t="inlineStr">
        <is>
          <t>VÄSTRA GÖTALANDS LÄN</t>
        </is>
      </c>
      <c r="G56" t="inlineStr">
        <is>
          <t>BOLLEBYGD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46258</v>
      </c>
      <c r="F57" t="inlineStr">
        <is>
          <t>VÄSTRA GÖTALANDS LÄN</t>
        </is>
      </c>
      <c r="G57" t="inlineStr">
        <is>
          <t>BOLLEBYGD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46258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46258</v>
      </c>
      <c r="F59" t="inlineStr">
        <is>
          <t>VÄSTRA GÖTALANDS LÄN</t>
        </is>
      </c>
      <c r="G59" t="inlineStr">
        <is>
          <t>BOLLEBYGD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46258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45762</v>
      </c>
      <c r="E61" s="1" t="n">
        <v>46258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46258</v>
      </c>
      <c r="F62" t="inlineStr">
        <is>
          <t>VÄSTRA GÖTALANDS LÄN</t>
        </is>
      </c>
      <c r="G62" t="inlineStr">
        <is>
          <t>BOLLEBYGD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45248</v>
      </c>
      <c r="E63" s="1" t="n">
        <v>46258</v>
      </c>
      <c r="F63" t="inlineStr">
        <is>
          <t>VÄSTRA GÖTALANDS LÄN</t>
        </is>
      </c>
      <c r="G63" t="inlineStr">
        <is>
          <t>BOLLEBYGD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44881</v>
      </c>
      <c r="E64" s="1" t="n">
        <v>46258</v>
      </c>
      <c r="F64" t="inlineStr">
        <is>
          <t>VÄSTRA GÖTALANDS LÄN</t>
        </is>
      </c>
      <c r="G64" t="inlineStr">
        <is>
          <t>BOLLEBYGD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44459</v>
      </c>
      <c r="E65" s="1" t="n">
        <v>46258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44966</v>
      </c>
      <c r="E66" s="1" t="n">
        <v>46258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46258</v>
      </c>
      <c r="F67" t="inlineStr">
        <is>
          <t>VÄSTRA GÖTALANDS LÄN</t>
        </is>
      </c>
      <c r="G67" t="inlineStr">
        <is>
          <t>BOLLEBYGD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45197</v>
      </c>
      <c r="E68" s="1" t="n">
        <v>46258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46258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46258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46258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46258</v>
      </c>
      <c r="F72" t="inlineStr">
        <is>
          <t>VÄSTRA GÖTALANDS LÄN</t>
        </is>
      </c>
      <c r="G72" t="inlineStr">
        <is>
          <t>BOLLEBYGD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46258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46258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46258</v>
      </c>
      <c r="F75" t="inlineStr">
        <is>
          <t>VÄSTRA GÖTALANDS LÄN</t>
        </is>
      </c>
      <c r="G75" t="inlineStr">
        <is>
          <t>BOLLEBYGD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45308</v>
      </c>
      <c r="E76" s="1" t="n">
        <v>46258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44726</v>
      </c>
      <c r="E77" s="1" t="n">
        <v>46258</v>
      </c>
      <c r="F77" t="inlineStr">
        <is>
          <t>VÄSTRA GÖTALANDS LÄN</t>
        </is>
      </c>
      <c r="G77" t="inlineStr">
        <is>
          <t>BOLLEBYGD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46258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45471</v>
      </c>
      <c r="E79" s="1" t="n">
        <v>46258</v>
      </c>
      <c r="F79" t="inlineStr">
        <is>
          <t>VÄSTRA GÖTALANDS LÄN</t>
        </is>
      </c>
      <c r="G79" t="inlineStr">
        <is>
          <t>BOLLEBYGD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45621</v>
      </c>
      <c r="E80" s="1" t="n">
        <v>46258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46258</v>
      </c>
      <c r="F81" t="inlineStr">
        <is>
          <t>VÄSTRA GÖTALANDS LÄN</t>
        </is>
      </c>
      <c r="G81" t="inlineStr">
        <is>
          <t>BOLLEBYGD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46258</v>
      </c>
      <c r="F82" t="inlineStr">
        <is>
          <t>VÄSTRA GÖTALANDS LÄN</t>
        </is>
      </c>
      <c r="G82" t="inlineStr">
        <is>
          <t>BOLLEBYGD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46258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46258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46258</v>
      </c>
      <c r="F85" t="inlineStr">
        <is>
          <t>VÄSTRA GÖTALANDS LÄN</t>
        </is>
      </c>
      <c r="G85" t="inlineStr">
        <is>
          <t>BOLLEBYGD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45117</v>
      </c>
      <c r="E86" s="1" t="n">
        <v>46258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45276</v>
      </c>
      <c r="E87" s="1" t="n">
        <v>46258</v>
      </c>
      <c r="F87" t="inlineStr">
        <is>
          <t>VÄSTRA GÖTALANDS LÄN</t>
        </is>
      </c>
      <c r="G87" t="inlineStr">
        <is>
          <t>BOLLEBYGD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46258</v>
      </c>
      <c r="F88" t="inlineStr">
        <is>
          <t>VÄSTRA GÖTALANDS LÄN</t>
        </is>
      </c>
      <c r="G88" t="inlineStr">
        <is>
          <t>BOLLEBYGD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46258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46258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46258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46258</v>
      </c>
      <c r="F92" t="inlineStr">
        <is>
          <t>VÄSTRA GÖTALANDS LÄN</t>
        </is>
      </c>
      <c r="G92" t="inlineStr">
        <is>
          <t>BOLLEBYGD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45836</v>
      </c>
      <c r="E93" s="1" t="n">
        <v>46258</v>
      </c>
      <c r="F93" t="inlineStr">
        <is>
          <t>VÄSTRA GÖTALANDS LÄN</t>
        </is>
      </c>
      <c r="G93" t="inlineStr">
        <is>
          <t>BOLLEBYGD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59816-2021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46258</v>
      </c>
      <c r="F94" t="inlineStr">
        <is>
          <t>VÄSTRA GÖTALANDS LÄN</t>
        </is>
      </c>
      <c r="G94" t="inlineStr">
        <is>
          <t>BOLLEBYGD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46258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46258</v>
      </c>
      <c r="F96" t="inlineStr">
        <is>
          <t>VÄSTRA GÖTALANDS LÄN</t>
        </is>
      </c>
      <c r="G96" t="inlineStr">
        <is>
          <t>BOLLEBYGD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45117</v>
      </c>
      <c r="E97" s="1" t="n">
        <v>46258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46258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46258</v>
      </c>
      <c r="F99" t="inlineStr">
        <is>
          <t>VÄSTRA GÖTALANDS LÄN</t>
        </is>
      </c>
      <c r="G99" t="inlineStr">
        <is>
          <t>BOLLEBYGD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46258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46258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46258</v>
      </c>
      <c r="F102" t="inlineStr">
        <is>
          <t>VÄSTRA GÖTALANDS LÄN</t>
        </is>
      </c>
      <c r="G102" t="inlineStr">
        <is>
          <t>BOLLEBYGD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46258</v>
      </c>
      <c r="F103" t="inlineStr">
        <is>
          <t>VÄSTRA GÖTALANDS LÄN</t>
        </is>
      </c>
      <c r="G103" t="inlineStr">
        <is>
          <t>BOLLEBYGD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46258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46258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46258</v>
      </c>
      <c r="F106" t="inlineStr">
        <is>
          <t>VÄSTRA GÖTALANDS LÄN</t>
        </is>
      </c>
      <c r="G106" t="inlineStr">
        <is>
          <t>BOLLEBYGD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46258</v>
      </c>
      <c r="F107" t="inlineStr">
        <is>
          <t>VÄSTRA GÖTALANDS LÄN</t>
        </is>
      </c>
      <c r="G107" t="inlineStr">
        <is>
          <t>BOLLEBYGD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46258</v>
      </c>
      <c r="F108" t="inlineStr">
        <is>
          <t>VÄSTRA GÖTALANDS LÄN</t>
        </is>
      </c>
      <c r="G108" t="inlineStr">
        <is>
          <t>BOLLEBYGD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46258</v>
      </c>
      <c r="F109" t="inlineStr">
        <is>
          <t>VÄSTRA GÖTALANDS LÄN</t>
        </is>
      </c>
      <c r="G109" t="inlineStr">
        <is>
          <t>BOLLEBYGD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46258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46258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46258</v>
      </c>
      <c r="F112" t="inlineStr">
        <is>
          <t>VÄSTRA GÖTALANDS LÄN</t>
        </is>
      </c>
      <c r="G112" t="inlineStr">
        <is>
          <t>BOLLEBYGD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45308</v>
      </c>
      <c r="E113" s="1" t="n">
        <v>46258</v>
      </c>
      <c r="F113" t="inlineStr">
        <is>
          <t>VÄSTRA GÖTALANDS LÄN</t>
        </is>
      </c>
      <c r="G113" t="inlineStr">
        <is>
          <t>BOLLEBYGD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46258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46258</v>
      </c>
      <c r="F115" t="inlineStr">
        <is>
          <t>VÄSTRA GÖTALANDS LÄN</t>
        </is>
      </c>
      <c r="G115" t="inlineStr">
        <is>
          <t>BOLLEBYGD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46258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46258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46258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46258</v>
      </c>
      <c r="F119" t="inlineStr">
        <is>
          <t>VÄSTRA GÖTALANDS LÄN</t>
        </is>
      </c>
      <c r="G119" t="inlineStr">
        <is>
          <t>BOLLEBYGD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46258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46258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46258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46258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46258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46258</v>
      </c>
      <c r="F125" t="inlineStr">
        <is>
          <t>VÄSTRA GÖTALANDS LÄN</t>
        </is>
      </c>
      <c r="G125" t="inlineStr">
        <is>
          <t>BOLLEBYGD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46258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46258</v>
      </c>
      <c r="F127" t="inlineStr">
        <is>
          <t>VÄSTRA GÖTALANDS LÄN</t>
        </is>
      </c>
      <c r="G127" t="inlineStr">
        <is>
          <t>BOLLEBYGD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46258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46258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46258</v>
      </c>
      <c r="F130" t="inlineStr">
        <is>
          <t>VÄSTRA GÖTALANDS LÄN</t>
        </is>
      </c>
      <c r="G130" t="inlineStr">
        <is>
          <t>BOLLEBYGD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46258</v>
      </c>
      <c r="F131" t="inlineStr">
        <is>
          <t>VÄSTRA GÖTALANDS LÄN</t>
        </is>
      </c>
      <c r="G131" t="inlineStr">
        <is>
          <t>BOLLEBYGD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46258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46258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46258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46258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46258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46258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46258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46258</v>
      </c>
      <c r="F139" t="inlineStr">
        <is>
          <t>VÄSTRA GÖTALANDS LÄN</t>
        </is>
      </c>
      <c r="G139" t="inlineStr">
        <is>
          <t>BOLLEBYGD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45476</v>
      </c>
      <c r="E140" s="1" t="n">
        <v>46258</v>
      </c>
      <c r="F140" t="inlineStr">
        <is>
          <t>VÄSTRA GÖTALANDS LÄN</t>
        </is>
      </c>
      <c r="G140" t="inlineStr">
        <is>
          <t>BOLLEBYGD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46258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46258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46258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45664</v>
      </c>
      <c r="E144" s="1" t="n">
        <v>46258</v>
      </c>
      <c r="F144" t="inlineStr">
        <is>
          <t>VÄSTRA GÖTALANDS LÄN</t>
        </is>
      </c>
      <c r="G144" t="inlineStr">
        <is>
          <t>BOLLEBYGD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46258</v>
      </c>
      <c r="F145" t="inlineStr">
        <is>
          <t>VÄSTRA GÖTALANDS LÄN</t>
        </is>
      </c>
      <c r="G145" t="inlineStr">
        <is>
          <t>BOLLEBYGD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46258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46258</v>
      </c>
      <c r="F147" t="inlineStr">
        <is>
          <t>VÄSTRA GÖTALANDS LÄN</t>
        </is>
      </c>
      <c r="G147" t="inlineStr">
        <is>
          <t>BOLLEBYGD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46258</v>
      </c>
      <c r="F148" t="inlineStr">
        <is>
          <t>VÄSTRA GÖTALANDS LÄN</t>
        </is>
      </c>
      <c r="G148" t="inlineStr">
        <is>
          <t>BOLLEBYGD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45872</v>
      </c>
      <c r="E149" s="1" t="n">
        <v>46258</v>
      </c>
      <c r="F149" t="inlineStr">
        <is>
          <t>VÄSTRA GÖTALANDS LÄN</t>
        </is>
      </c>
      <c r="G149" t="inlineStr">
        <is>
          <t>BOLLEBYGD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46258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46258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46258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46258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44915</v>
      </c>
      <c r="E154" s="1" t="n">
        <v>46258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46258</v>
      </c>
      <c r="F155" t="inlineStr">
        <is>
          <t>VÄSTRA GÖTALANDS LÄN</t>
        </is>
      </c>
      <c r="G155" t="inlineStr">
        <is>
          <t>BOLLEBYGD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46258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46258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46258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46258</v>
      </c>
      <c r="F159" t="inlineStr">
        <is>
          <t>VÄSTRA GÖTALANDS LÄN</t>
        </is>
      </c>
      <c r="G159" t="inlineStr">
        <is>
          <t>BOLLEBYGD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46258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46258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46258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46258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46258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31546-2022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44775</v>
      </c>
      <c r="E165" s="1" t="n">
        <v>46258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46258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51314-2023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45219</v>
      </c>
      <c r="E167" s="1" t="n">
        <v>46258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44946</v>
      </c>
      <c r="E168" s="1" t="n">
        <v>46258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46258</v>
      </c>
      <c r="F169" t="inlineStr">
        <is>
          <t>VÄSTRA GÖTALANDS LÄN</t>
        </is>
      </c>
      <c r="G169" t="inlineStr">
        <is>
          <t>BOLLEBYGD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46258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45377</v>
      </c>
      <c r="E171" s="1" t="n">
        <v>46258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46258</v>
      </c>
      <c r="F172" t="inlineStr">
        <is>
          <t>VÄSTRA GÖTALANDS LÄN</t>
        </is>
      </c>
      <c r="G172" t="inlineStr">
        <is>
          <t>BOLLEBYGD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46258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46258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46258</v>
      </c>
      <c r="F175" t="inlineStr">
        <is>
          <t>VÄSTRA GÖTALANDS LÄN</t>
        </is>
      </c>
      <c r="G175" t="inlineStr">
        <is>
          <t>BOLLEBYGD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12879-2026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46092</v>
      </c>
      <c r="E176" s="1" t="n">
        <v>46258</v>
      </c>
      <c r="F176" t="inlineStr">
        <is>
          <t>VÄSTRA GÖTALANDS LÄN</t>
        </is>
      </c>
      <c r="G176" t="inlineStr">
        <is>
          <t>BOLLEBYGD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46258</v>
      </c>
      <c r="F177" t="inlineStr">
        <is>
          <t>VÄSTRA GÖTALANDS LÄN</t>
        </is>
      </c>
      <c r="G177" t="inlineStr">
        <is>
          <t>BOLLEBYGD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46258</v>
      </c>
      <c r="F178" t="inlineStr">
        <is>
          <t>VÄSTRA GÖTALANDS LÄN</t>
        </is>
      </c>
      <c r="G178" t="inlineStr">
        <is>
          <t>BOLLEBYGD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46258</v>
      </c>
      <c r="F179" t="inlineStr">
        <is>
          <t>VÄSTRA GÖTALANDS LÄN</t>
        </is>
      </c>
      <c r="G179" t="inlineStr">
        <is>
          <t>BOLLEBYGD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46258</v>
      </c>
      <c r="F180" t="inlineStr">
        <is>
          <t>VÄSTRA GÖTALANDS LÄN</t>
        </is>
      </c>
      <c r="G180" t="inlineStr">
        <is>
          <t>BOLLEBYGD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46258</v>
      </c>
      <c r="F181" t="inlineStr">
        <is>
          <t>VÄSTRA GÖTALANDS LÄN</t>
        </is>
      </c>
      <c r="G181" t="inlineStr">
        <is>
          <t>BOLLEBYGD</t>
        </is>
      </c>
      <c r="H181" t="inlineStr">
        <is>
          <t>Kyrkan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46258</v>
      </c>
      <c r="F182" t="inlineStr">
        <is>
          <t>VÄSTRA GÖTALANDS LÄN</t>
        </is>
      </c>
      <c r="G182" t="inlineStr">
        <is>
          <t>BOLLEBYGD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46258</v>
      </c>
      <c r="F183" t="inlineStr">
        <is>
          <t>VÄSTRA GÖTALANDS LÄN</t>
        </is>
      </c>
      <c r="G183" t="inlineStr">
        <is>
          <t>BOLLEBYGD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46258</v>
      </c>
      <c r="F184" t="inlineStr">
        <is>
          <t>VÄSTRA GÖTALANDS LÄN</t>
        </is>
      </c>
      <c r="G184" t="inlineStr">
        <is>
          <t>BOLLEBYGD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46258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46258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46258</v>
      </c>
      <c r="F187" t="inlineStr">
        <is>
          <t>VÄSTRA GÖTALANDS LÄN</t>
        </is>
      </c>
      <c r="G187" t="inlineStr">
        <is>
          <t>BOLLEBYGD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46258</v>
      </c>
      <c r="F188" t="inlineStr">
        <is>
          <t>VÄSTRA GÖTALANDS LÄN</t>
        </is>
      </c>
      <c r="G188" t="inlineStr">
        <is>
          <t>BOLLEBYGD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14545-2026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46100</v>
      </c>
      <c r="E189" s="1" t="n">
        <v>46258</v>
      </c>
      <c r="F189" t="inlineStr">
        <is>
          <t>VÄSTRA GÖTALANDS LÄN</t>
        </is>
      </c>
      <c r="G189" t="inlineStr">
        <is>
          <t>BOLLEBYGD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46258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46258</v>
      </c>
      <c r="F191" t="inlineStr">
        <is>
          <t>VÄSTRA GÖTALANDS LÄN</t>
        </is>
      </c>
      <c r="G191" t="inlineStr">
        <is>
          <t>BOLLEBYGD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46258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46258</v>
      </c>
      <c r="F193" t="inlineStr">
        <is>
          <t>VÄSTRA GÖTALANDS LÄN</t>
        </is>
      </c>
      <c r="G193" t="inlineStr">
        <is>
          <t>BOLLEBYGD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46258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46258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46258</v>
      </c>
      <c r="F196" t="inlineStr">
        <is>
          <t>VÄSTRA GÖTALANDS LÄN</t>
        </is>
      </c>
      <c r="G196" t="inlineStr">
        <is>
          <t>BOLLEBYGD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46258</v>
      </c>
      <c r="F197" t="inlineStr">
        <is>
          <t>VÄSTRA GÖTALANDS LÄN</t>
        </is>
      </c>
      <c r="G197" t="inlineStr">
        <is>
          <t>BOLLEBYGD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46258</v>
      </c>
      <c r="F198" t="inlineStr">
        <is>
          <t>VÄSTRA GÖTALANDS LÄN</t>
        </is>
      </c>
      <c r="G198" t="inlineStr">
        <is>
          <t>BOLLEBYGD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46258</v>
      </c>
      <c r="F199" t="inlineStr">
        <is>
          <t>VÄSTRA GÖTALANDS LÄN</t>
        </is>
      </c>
      <c r="G199" t="inlineStr">
        <is>
          <t>BOLLEBYGD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46258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46258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46258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46258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46258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45476</v>
      </c>
      <c r="E205" s="1" t="n">
        <v>46258</v>
      </c>
      <c r="F205" t="inlineStr">
        <is>
          <t>VÄSTRA GÖTALANDS LÄN</t>
        </is>
      </c>
      <c r="G205" t="inlineStr">
        <is>
          <t>BOLLEBYGD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46258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46258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46258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46258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45696</v>
      </c>
      <c r="E210" s="1" t="n">
        <v>46258</v>
      </c>
      <c r="F210" t="inlineStr">
        <is>
          <t>VÄSTRA GÖTALANDS LÄN</t>
        </is>
      </c>
      <c r="G210" t="inlineStr">
        <is>
          <t>BOLLEBYGD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46258</v>
      </c>
      <c r="F211" t="inlineStr">
        <is>
          <t>VÄSTRA GÖTALANDS LÄN</t>
        </is>
      </c>
      <c r="G211" t="inlineStr">
        <is>
          <t>BOLLEBYGD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46258</v>
      </c>
      <c r="F212" t="inlineStr">
        <is>
          <t>VÄSTRA GÖTALANDS LÄN</t>
        </is>
      </c>
      <c r="G212" t="inlineStr">
        <is>
          <t>BOLLEBYGD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46258</v>
      </c>
      <c r="F213" t="inlineStr">
        <is>
          <t>VÄSTRA GÖTALANDS LÄN</t>
        </is>
      </c>
      <c r="G213" t="inlineStr">
        <is>
          <t>BOLLEBYGD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46258</v>
      </c>
      <c r="F214" t="inlineStr">
        <is>
          <t>VÄSTRA GÖTALANDS LÄN</t>
        </is>
      </c>
      <c r="G214" t="inlineStr">
        <is>
          <t>BOLLEBYGD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46258</v>
      </c>
      <c r="F215" t="inlineStr">
        <is>
          <t>VÄSTRA GÖTALANDS LÄN</t>
        </is>
      </c>
      <c r="G215" t="inlineStr">
        <is>
          <t>BOLLEBYGD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46258</v>
      </c>
      <c r="F216" t="inlineStr">
        <is>
          <t>VÄSTRA GÖTALANDS LÄN</t>
        </is>
      </c>
      <c r="G216" t="inlineStr">
        <is>
          <t>BOLLEBYGD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46258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46258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17434-2026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46120</v>
      </c>
      <c r="E219" s="1" t="n">
        <v>46258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46258</v>
      </c>
      <c r="F220" t="inlineStr">
        <is>
          <t>VÄSTRA GÖTALANDS LÄN</t>
        </is>
      </c>
      <c r="G220" t="inlineStr">
        <is>
          <t>BOLLEBYGD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46258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46258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46258</v>
      </c>
      <c r="F223" t="inlineStr">
        <is>
          <t>VÄSTRA GÖTALANDS LÄN</t>
        </is>
      </c>
      <c r="G223" t="inlineStr">
        <is>
          <t>BOLLEBYGD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45624</v>
      </c>
      <c r="E224" s="1" t="n">
        <v>46258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46258</v>
      </c>
      <c r="F225" t="inlineStr">
        <is>
          <t>VÄSTRA GÖTALANDS LÄN</t>
        </is>
      </c>
      <c r="G225" t="inlineStr">
        <is>
          <t>BOLLEBYGD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46258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46258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46258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46258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46258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46258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46258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46258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46258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46258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46258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46258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46258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46258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46258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2026-08-24T01:51:28Z</dcterms:created>
  <dcterms:modified xmlns:dcterms="http://purl.org/dc/terms/" xmlns:xsi="http://www.w3.org/2001/XMLSchema-instance" xsi:type="dcterms:W3CDTF">2026-08-24T01:51:28Z</dcterms:modified>
</cp:coreProperties>
</file>