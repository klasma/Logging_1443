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46314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46314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30777-2023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45112</v>
      </c>
      <c r="E4" s="1" t="n">
        <v>46314</v>
      </c>
      <c r="F4" t="inlineStr">
        <is>
          <t>VÄSTRA GÖTALANDS LÄN</t>
        </is>
      </c>
      <c r="G4" t="inlineStr">
        <is>
          <t>BOLLEBYGD</t>
        </is>
      </c>
      <c r="I4" t="n">
        <v>6.2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5</v>
      </c>
      <c r="T4" t="n">
        <v>10</v>
      </c>
      <c r="U4" t="n">
        <v>8</v>
      </c>
      <c r="V4" s="2" t="inlineStr">
        <is>
          <t>Oxtungssvamp
Vågbandad barkbock
Tofsmes
Svartvit flugsnappare
Grönvit nattviol</t>
        </is>
      </c>
      <c r="W4">
        <f>HYPERLINK("https://klasma.github.io/Logging_1443/artfynd/A 30777-2023 artfynd.xlsx", "A 30777-2023")</f>
        <v/>
      </c>
      <c r="X4">
        <f>HYPERLINK("https://klasma.github.io/Logging_1443/kartor/A 30777-2023 karta.png", "A 30777-2023")</f>
        <v/>
      </c>
      <c r="Y4">
        <f>HYPERLINK("https://klasma.github.io/Logging_1443/kartor_geotiff/A 30777-2023 georefererad karta.tif", "A 30777-2023")</f>
        <v/>
      </c>
      <c r="AA4">
        <f>HYPERLINK("https://klasma.github.io/Logging_1443/klagomål/A 30777-2023 FSC-klagomål.docx", "A 30777-2023")</f>
        <v/>
      </c>
      <c r="AB4">
        <f>HYPERLINK("https://klasma.github.io/Logging_1443/klagomålsmail/A 30777-2023 FSC-klagomål mail.docx", "A 30777-2023")</f>
        <v/>
      </c>
      <c r="AC4">
        <f>HYPERLINK("https://klasma.github.io/Logging_1443/tillsyn/A 30777-2023 tillsynsbegäran.docx", "A 30777-2023")</f>
        <v/>
      </c>
      <c r="AD4">
        <f>HYPERLINK("https://klasma.github.io/Logging_1443/tillsynsmail/A 30777-2023 tillsynsbegäran mail.docx", "A 30777-2023")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46314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50011-2023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45215</v>
      </c>
      <c r="E6" s="1" t="n">
        <v>46314</v>
      </c>
      <c r="F6" t="inlineStr">
        <is>
          <t>VÄSTRA GÖTALANDS LÄN</t>
        </is>
      </c>
      <c r="G6" t="inlineStr">
        <is>
          <t>BOLLEBYGD</t>
        </is>
      </c>
      <c r="I6" t="n">
        <v>7.5</v>
      </c>
      <c r="J6" t="n">
        <v>4</v>
      </c>
      <c r="K6" t="n">
        <v>0</v>
      </c>
      <c r="L6" t="n">
        <v>3</v>
      </c>
      <c r="M6" t="n">
        <v>1</v>
      </c>
      <c r="N6" t="n">
        <v>0</v>
      </c>
      <c r="O6" t="n">
        <v>0</v>
      </c>
      <c r="P6" t="n">
        <v>1</v>
      </c>
      <c r="Q6" t="n">
        <v>5</v>
      </c>
      <c r="R6" t="n">
        <v>1</v>
      </c>
      <c r="S6" t="n">
        <v>5</v>
      </c>
      <c r="T6" t="n">
        <v>5</v>
      </c>
      <c r="U6" t="n">
        <v>3</v>
      </c>
      <c r="V6" s="2" t="inlineStr">
        <is>
          <t>Svartbent strandpipare
Sexfläckig bastardsvärmare
Grönsångare
Strandskata
Sädesärla</t>
        </is>
      </c>
      <c r="W6">
        <f>HYPERLINK("https://klasma.github.io/Logging_1443/artfynd/A 50011-2023 artfynd.xlsx", "A 50011-2023")</f>
        <v/>
      </c>
      <c r="X6">
        <f>HYPERLINK("https://klasma.github.io/Logging_1443/kartor/A 50011-2023 karta.png", "A 50011-2023")</f>
        <v/>
      </c>
      <c r="Y6">
        <f>HYPERLINK("https://klasma.github.io/Logging_1443/kartor_geotiff/A 50011-2023 georefererad karta.tif", "A 50011-2023")</f>
        <v/>
      </c>
      <c r="AA6">
        <f>HYPERLINK("https://klasma.github.io/Logging_1443/klagomål/A 50011-2023 FSC-klagomål.docx", "A 50011-2023")</f>
        <v/>
      </c>
      <c r="AB6">
        <f>HYPERLINK("https://klasma.github.io/Logging_1443/klagomålsmail/A 50011-2023 FSC-klagomål mail.docx", "A 50011-2023")</f>
        <v/>
      </c>
      <c r="AC6">
        <f>HYPERLINK("https://klasma.github.io/Logging_1443/tillsyn/A 50011-2023 tillsynsbegäran.docx", "A 50011-2023")</f>
        <v/>
      </c>
      <c r="AD6">
        <f>HYPERLINK("https://klasma.github.io/Logging_1443/tillsynsmail/A 50011-2023 tillsynsbegäran mail.docx", "A 50011-2023")</f>
        <v/>
      </c>
      <c r="AE6">
        <f>HYPERLINK("https://klasma.github.io/Logging_1443/fåglar/A 50011-2023 prioriterade fågelarter.docx", "A 50011-2023")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46314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46314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30671-2023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46314</v>
      </c>
      <c r="F9" t="inlineStr">
        <is>
          <t>VÄSTRA GÖTALANDS LÄN</t>
        </is>
      </c>
      <c r="G9" t="inlineStr">
        <is>
          <t>BOLLEBYGD</t>
        </is>
      </c>
      <c r="I9" t="n">
        <v>4.9</v>
      </c>
      <c r="J9" t="n">
        <v>3</v>
      </c>
      <c r="K9" t="n">
        <v>0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12</v>
      </c>
      <c r="U9" t="n">
        <v>10</v>
      </c>
      <c r="V9" s="2" t="inlineStr">
        <is>
          <t>Knärot
Järnsparv
Spillkråka</t>
        </is>
      </c>
      <c r="W9">
        <f>HYPERLINK("https://klasma.github.io/Logging_1443/artfynd/A 30671-2023 artfynd.xlsx", "A 30671-2023")</f>
        <v/>
      </c>
      <c r="X9">
        <f>HYPERLINK("https://klasma.github.io/Logging_1443/kartor/A 30671-2023 karta.png", "A 30671-2023")</f>
        <v/>
      </c>
      <c r="Y9">
        <f>HYPERLINK("https://klasma.github.io/Logging_1443/kartor_geotiff/A 30671-2023 georefererad karta.tif", "A 30671-2023")</f>
        <v/>
      </c>
      <c r="Z9">
        <f>HYPERLINK("https://klasma.github.io/Logging_1443/knärot/A 30671-2023 karta knärot.png", "A 30671-2023")</f>
        <v/>
      </c>
      <c r="AA9">
        <f>HYPERLINK("https://klasma.github.io/Logging_1443/klagomål/A 30671-2023 FSC-klagomål.docx", "A 30671-2023")</f>
        <v/>
      </c>
      <c r="AB9">
        <f>HYPERLINK("https://klasma.github.io/Logging_1443/klagomålsmail/A 30671-2023 FSC-klagomål mail.docx", "A 30671-2023")</f>
        <v/>
      </c>
      <c r="AC9">
        <f>HYPERLINK("https://klasma.github.io/Logging_1443/tillsyn/A 30671-2023 tillsynsbegäran.docx", "A 30671-2023")</f>
        <v/>
      </c>
      <c r="AD9">
        <f>HYPERLINK("https://klasma.github.io/Logging_1443/tillsynsmail/A 30671-2023 tillsynsbegäran mail.docx", "A 30671-2023")</f>
        <v/>
      </c>
      <c r="AE9">
        <f>HYPERLINK("https://klasma.github.io/Logging_1443/fåglar/A 30671-2023 prioriterade fågelarter.docx", "A 30671-2023")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46314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46314</v>
      </c>
      <c r="F11" t="inlineStr">
        <is>
          <t>VÄSTRA GÖTALANDS LÄN</t>
        </is>
      </c>
      <c r="G11" t="inlineStr">
        <is>
          <t>BOLLEBYGD</t>
        </is>
      </c>
      <c r="I11" t="n">
        <v>2.9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Klippfrullania
Trädporella
Fläcknycklar</t>
        </is>
      </c>
      <c r="W11">
        <f>HYPERLINK("https://klasma.github.io/Logging_1443/artfynd/A 30655-2023 artfynd.xlsx", "A 30655-2023")</f>
        <v/>
      </c>
      <c r="X11">
        <f>HYPERLINK("https://klasma.github.io/Logging_1443/kartor/A 30655-2023 karta.png", "A 30655-2023")</f>
        <v/>
      </c>
      <c r="Y11">
        <f>HYPERLINK("https://klasma.github.io/Logging_1443/kartor_geotiff/A 30655-2023 georefererad karta.tif", "A 30655-2023")</f>
        <v/>
      </c>
      <c r="AA11">
        <f>HYPERLINK("https://klasma.github.io/Logging_1443/klagomål/A 30655-2023 FSC-klagomål.docx", "A 30655-2023")</f>
        <v/>
      </c>
      <c r="AB11">
        <f>HYPERLINK("https://klasma.github.io/Logging_1443/klagomålsmail/A 30655-2023 FSC-klagomål mail.docx", "A 30655-2023")</f>
        <v/>
      </c>
      <c r="AC11">
        <f>HYPERLINK("https://klasma.github.io/Logging_1443/tillsyn/A 30655-2023 tillsynsbegäran.docx", "A 30655-2023")</f>
        <v/>
      </c>
      <c r="AD11">
        <f>HYPERLINK("https://klasma.github.io/Logging_1443/tillsynsmail/A 30655-2023 tillsynsbegäran mail.docx", "A 30655-2023")</f>
        <v/>
      </c>
    </row>
    <row r="12" ht="15" customHeight="1">
      <c r="A12" t="inlineStr">
        <is>
          <t>A 30785-2023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46314</v>
      </c>
      <c r="F12" t="inlineStr">
        <is>
          <t>VÄSTRA GÖTALANDS LÄN</t>
        </is>
      </c>
      <c r="G12" t="inlineStr">
        <is>
          <t>BOLLEBYGD</t>
        </is>
      </c>
      <c r="I12" t="n">
        <v>3.4</v>
      </c>
      <c r="J12" t="n">
        <v>2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6</v>
      </c>
      <c r="U12" t="n">
        <v>5</v>
      </c>
      <c r="V12" s="2" t="inlineStr">
        <is>
          <t>Lunglav
Grönvit nattviol
Revlummer</t>
        </is>
      </c>
      <c r="W12">
        <f>HYPERLINK("https://klasma.github.io/Logging_1443/artfynd/A 30785-2023 artfynd.xlsx", "A 30785-2023")</f>
        <v/>
      </c>
      <c r="X12">
        <f>HYPERLINK("https://klasma.github.io/Logging_1443/kartor/A 30785-2023 karta.png", "A 30785-2023")</f>
        <v/>
      </c>
      <c r="Y12">
        <f>HYPERLINK("https://klasma.github.io/Logging_1443/kartor_geotiff/A 30785-2023 georefererad karta.tif", "A 30785-2023")</f>
        <v/>
      </c>
      <c r="AA12">
        <f>HYPERLINK("https://klasma.github.io/Logging_1443/klagomål/A 30785-2023 FSC-klagomål.docx", "A 30785-2023")</f>
        <v/>
      </c>
      <c r="AB12">
        <f>HYPERLINK("https://klasma.github.io/Logging_1443/klagomålsmail/A 30785-2023 FSC-klagomål mail.docx", "A 30785-2023")</f>
        <v/>
      </c>
      <c r="AC12">
        <f>HYPERLINK("https://klasma.github.io/Logging_1443/tillsyn/A 30785-2023 tillsynsbegäran.docx", "A 30785-2023")</f>
        <v/>
      </c>
      <c r="AD12">
        <f>HYPERLINK("https://klasma.github.io/Logging_1443/tillsynsmail/A 30785-2023 tillsynsbegäran mail.docx", "A 30785-2023")</f>
        <v/>
      </c>
    </row>
    <row r="13" ht="15" customHeight="1">
      <c r="A13" t="inlineStr">
        <is>
          <t>A 30666-2023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45112</v>
      </c>
      <c r="E13" s="1" t="n">
        <v>46314</v>
      </c>
      <c r="F13" t="inlineStr">
        <is>
          <t>VÄSTRA GÖTALANDS LÄN</t>
        </is>
      </c>
      <c r="G13" t="inlineStr">
        <is>
          <t>BOLLEBYGD</t>
        </is>
      </c>
      <c r="I13" t="n">
        <v>1.1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Talltita
Tjäder</t>
        </is>
      </c>
      <c r="W13">
        <f>HYPERLINK("https://klasma.github.io/Logging_1443/artfynd/A 30666-2023 artfynd.xlsx", "A 30666-2023")</f>
        <v/>
      </c>
      <c r="X13">
        <f>HYPERLINK("https://klasma.github.io/Logging_1443/kartor/A 30666-2023 karta.png", "A 30666-2023")</f>
        <v/>
      </c>
      <c r="Y13">
        <f>HYPERLINK("https://klasma.github.io/Logging_1443/kartor_geotiff/A 30666-2023 georefererad karta.tif", "A 30666-2023")</f>
        <v/>
      </c>
      <c r="AA13">
        <f>HYPERLINK("https://klasma.github.io/Logging_1443/klagomål/A 30666-2023 FSC-klagomål.docx", "A 30666-2023")</f>
        <v/>
      </c>
      <c r="AB13">
        <f>HYPERLINK("https://klasma.github.io/Logging_1443/klagomålsmail/A 30666-2023 FSC-klagomål mail.docx", "A 30666-2023")</f>
        <v/>
      </c>
      <c r="AC13">
        <f>HYPERLINK("https://klasma.github.io/Logging_1443/tillsyn/A 30666-2023 tillsynsbegäran.docx", "A 30666-2023")</f>
        <v/>
      </c>
      <c r="AD13">
        <f>HYPERLINK("https://klasma.github.io/Logging_1443/tillsynsmail/A 30666-2023 tillsynsbegäran mail.docx", "A 30666-2023")</f>
        <v/>
      </c>
      <c r="AE13">
        <f>HYPERLINK("https://klasma.github.io/Logging_1443/fåglar/A 30666-2023 prioriterade fågelarter.docx", "A 30666-2023")</f>
        <v/>
      </c>
    </row>
    <row r="14" ht="15" customHeight="1">
      <c r="A14" t="inlineStr">
        <is>
          <t>A 60380-2025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45995</v>
      </c>
      <c r="E14" s="1" t="n">
        <v>46314</v>
      </c>
      <c r="F14" t="inlineStr">
        <is>
          <t>VÄSTRA GÖTALANDS LÄN</t>
        </is>
      </c>
      <c r="G14" t="inlineStr">
        <is>
          <t>BOLLEBYGD</t>
        </is>
      </c>
      <c r="I14" t="n">
        <v>2.5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3</v>
      </c>
      <c r="U14" t="n">
        <v>0</v>
      </c>
      <c r="V14" s="2" t="inlineStr">
        <is>
          <t>Spillkråka
Revlummer</t>
        </is>
      </c>
      <c r="W14">
        <f>HYPERLINK("https://klasma.github.io/Logging_1443/artfynd/A 60380-2025 artfynd.xlsx", "A 60380-2025")</f>
        <v/>
      </c>
      <c r="X14">
        <f>HYPERLINK("https://klasma.github.io/Logging_1443/kartor/A 60380-2025 karta.png", "A 60380-2025")</f>
        <v/>
      </c>
      <c r="Y14">
        <f>HYPERLINK("https://klasma.github.io/Logging_1443/kartor_geotiff/A 60380-2025 georefererad karta.tif", "A 60380-2025")</f>
        <v/>
      </c>
      <c r="AA14">
        <f>HYPERLINK("https://klasma.github.io/Logging_1443/klagomål/A 60380-2025 FSC-klagomål.docx", "A 60380-2025")</f>
        <v/>
      </c>
      <c r="AB14">
        <f>HYPERLINK("https://klasma.github.io/Logging_1443/klagomålsmail/A 60380-2025 FSC-klagomål mail.docx", "A 60380-2025")</f>
        <v/>
      </c>
      <c r="AC14">
        <f>HYPERLINK("https://klasma.github.io/Logging_1443/tillsyn/A 60380-2025 tillsynsbegäran.docx", "A 60380-2025")</f>
        <v/>
      </c>
      <c r="AD14">
        <f>HYPERLINK("https://klasma.github.io/Logging_1443/tillsynsmail/A 60380-2025 tillsynsbegäran mail.docx", "A 60380-2025")</f>
        <v/>
      </c>
      <c r="AE14">
        <f>HYPERLINK("https://klasma.github.io/Logging_1443/fåglar/A 60380-2025 prioriterade fågelarter.docx", "A 60380-2025")</f>
        <v/>
      </c>
    </row>
    <row r="15" ht="15" customHeight="1">
      <c r="A15" t="inlineStr">
        <is>
          <t>A 9930-2024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45363</v>
      </c>
      <c r="E15" s="1" t="n">
        <v>46314</v>
      </c>
      <c r="F15" t="inlineStr">
        <is>
          <t>VÄSTRA GÖTALANDS LÄN</t>
        </is>
      </c>
      <c r="G15" t="inlineStr">
        <is>
          <t>BOLLEBYGD</t>
        </is>
      </c>
      <c r="I15" t="n">
        <v>4.3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Större träfjäril
Spillkråka</t>
        </is>
      </c>
      <c r="W15">
        <f>HYPERLINK("https://klasma.github.io/Logging_1443/artfynd/A 9930-2024 artfynd.xlsx", "A 9930-2024")</f>
        <v/>
      </c>
      <c r="X15">
        <f>HYPERLINK("https://klasma.github.io/Logging_1443/kartor/A 9930-2024 karta.png", "A 9930-2024")</f>
        <v/>
      </c>
      <c r="Y15">
        <f>HYPERLINK("https://klasma.github.io/Logging_1443/kartor_geotiff/A 9930-2024 georefererad karta.tif", "A 9930-2024")</f>
        <v/>
      </c>
      <c r="AA15">
        <f>HYPERLINK("https://klasma.github.io/Logging_1443/klagomål/A 9930-2024 FSC-klagomål.docx", "A 9930-2024")</f>
        <v/>
      </c>
      <c r="AB15">
        <f>HYPERLINK("https://klasma.github.io/Logging_1443/klagomålsmail/A 9930-2024 FSC-klagomål mail.docx", "A 9930-2024")</f>
        <v/>
      </c>
      <c r="AC15">
        <f>HYPERLINK("https://klasma.github.io/Logging_1443/tillsyn/A 9930-2024 tillsynsbegäran.docx", "A 9930-2024")</f>
        <v/>
      </c>
      <c r="AD15">
        <f>HYPERLINK("https://klasma.github.io/Logging_1443/tillsynsmail/A 9930-2024 tillsynsbegäran mail.docx", "A 9930-2024")</f>
        <v/>
      </c>
      <c r="AE15">
        <f>HYPERLINK("https://klasma.github.io/Logging_1443/fåglar/A 9930-2024 prioriterade fågelarter.docx", "A 9930-2024")</f>
        <v/>
      </c>
    </row>
    <row r="16" ht="15" customHeight="1">
      <c r="A16" t="inlineStr">
        <is>
          <t>A 26670-2026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46184</v>
      </c>
      <c r="E16" s="1" t="n">
        <v>46314</v>
      </c>
      <c r="F16" t="inlineStr">
        <is>
          <t>VÄSTRA GÖTALANDS LÄN</t>
        </is>
      </c>
      <c r="G16" t="inlineStr">
        <is>
          <t>BOLLEBYGD</t>
        </is>
      </c>
      <c r="I16" t="n">
        <v>15.4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Tofsmes
Grönsiska</t>
        </is>
      </c>
      <c r="W16">
        <f>HYPERLINK("https://klasma.github.io/Logging_1443/artfynd/A 26670-2026 artfynd.xlsx", "A 26670-2026")</f>
        <v/>
      </c>
      <c r="X16">
        <f>HYPERLINK("https://klasma.github.io/Logging_1443/kartor/A 26670-2026 karta.png", "A 26670-2026")</f>
        <v/>
      </c>
      <c r="Y16">
        <f>HYPERLINK("https://klasma.github.io/Logging_1443/kartor_geotiff/A 26670-2026 georefererad karta.tif", "A 26670-2026")</f>
        <v/>
      </c>
      <c r="AA16">
        <f>HYPERLINK("https://klasma.github.io/Logging_1443/klagomål/A 26670-2026 FSC-klagomål.docx", "A 26670-2026")</f>
        <v/>
      </c>
      <c r="AB16">
        <f>HYPERLINK("https://klasma.github.io/Logging_1443/klagomålsmail/A 26670-2026 FSC-klagomål mail.docx", "A 26670-2026")</f>
        <v/>
      </c>
      <c r="AC16">
        <f>HYPERLINK("https://klasma.github.io/Logging_1443/tillsyn/A 26670-2026 tillsynsbegäran.docx", "A 26670-2026")</f>
        <v/>
      </c>
      <c r="AD16">
        <f>HYPERLINK("https://klasma.github.io/Logging_1443/tillsynsmail/A 26670-2026 tillsynsbegäran mail.docx", "A 26670-2026")</f>
        <v/>
      </c>
    </row>
    <row r="17" ht="15" customHeight="1">
      <c r="A17" t="inlineStr">
        <is>
          <t>A 13115-2026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46093</v>
      </c>
      <c r="E17" s="1" t="n">
        <v>46314</v>
      </c>
      <c r="F17" t="inlineStr">
        <is>
          <t>VÄSTRA GÖTALANDS LÄN</t>
        </is>
      </c>
      <c r="G17" t="inlineStr">
        <is>
          <t>BOLLEBYGD</t>
        </is>
      </c>
      <c r="I17" t="n">
        <v>6.5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0</v>
      </c>
      <c r="V17" s="2" t="inlineStr">
        <is>
          <t>Mattlummer
Fläcknycklar</t>
        </is>
      </c>
      <c r="W17">
        <f>HYPERLINK("https://klasma.github.io/Logging_1443/artfynd/A 13115-2026 artfynd.xlsx", "A 13115-2026")</f>
        <v/>
      </c>
      <c r="X17">
        <f>HYPERLINK("https://klasma.github.io/Logging_1443/kartor/A 13115-2026 karta.png", "A 13115-2026")</f>
        <v/>
      </c>
      <c r="Y17">
        <f>HYPERLINK("https://klasma.github.io/Logging_1443/kartor_geotiff/A 13115-2026 georefererad karta.tif", "A 13115-2026")</f>
        <v/>
      </c>
      <c r="AA17">
        <f>HYPERLINK("https://klasma.github.io/Logging_1443/klagomål/A 13115-2026 FSC-klagomål.docx", "A 13115-2026")</f>
        <v/>
      </c>
      <c r="AB17">
        <f>HYPERLINK("https://klasma.github.io/Logging_1443/klagomålsmail/A 13115-2026 FSC-klagomål mail.docx", "A 13115-2026")</f>
        <v/>
      </c>
      <c r="AC17">
        <f>HYPERLINK("https://klasma.github.io/Logging_1443/tillsyn/A 13115-2026 tillsynsbegäran.docx", "A 13115-2026")</f>
        <v/>
      </c>
      <c r="AD17">
        <f>HYPERLINK("https://klasma.github.io/Logging_1443/tillsynsmail/A 13115-2026 tillsynsbegäran mail.docx", "A 13115-2026")</f>
        <v/>
      </c>
    </row>
    <row r="18" ht="15" customHeight="1">
      <c r="A18" t="inlineStr">
        <is>
          <t>A 31714-2023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45117</v>
      </c>
      <c r="E18" s="1" t="n">
        <v>46314</v>
      </c>
      <c r="F18" t="inlineStr">
        <is>
          <t>VÄSTRA GÖTALANDS LÄN</t>
        </is>
      </c>
      <c r="G18" t="inlineStr">
        <is>
          <t>BOLLEBYGD</t>
        </is>
      </c>
      <c r="I18" t="n">
        <v>2.4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6</v>
      </c>
      <c r="U18" t="n">
        <v>6</v>
      </c>
      <c r="V18" s="2" t="inlineStr">
        <is>
          <t>Spillkråka
Grönsiska</t>
        </is>
      </c>
      <c r="W18">
        <f>HYPERLINK("https://klasma.github.io/Logging_1443/artfynd/A 31714-2023 artfynd.xlsx", "A 31714-2023")</f>
        <v/>
      </c>
      <c r="X18">
        <f>HYPERLINK("https://klasma.github.io/Logging_1443/kartor/A 31714-2023 karta.png", "A 31714-2023")</f>
        <v/>
      </c>
      <c r="Y18">
        <f>HYPERLINK("https://klasma.github.io/Logging_1443/kartor_geotiff/A 31714-2023 georefererad karta.tif", "A 31714-2023")</f>
        <v/>
      </c>
      <c r="AA18">
        <f>HYPERLINK("https://klasma.github.io/Logging_1443/klagomål/A 31714-2023 FSC-klagomål.docx", "A 31714-2023")</f>
        <v/>
      </c>
      <c r="AB18">
        <f>HYPERLINK("https://klasma.github.io/Logging_1443/klagomålsmail/A 31714-2023 FSC-klagomål mail.docx", "A 31714-2023")</f>
        <v/>
      </c>
      <c r="AC18">
        <f>HYPERLINK("https://klasma.github.io/Logging_1443/tillsyn/A 31714-2023 tillsynsbegäran.docx", "A 31714-2023")</f>
        <v/>
      </c>
      <c r="AD18">
        <f>HYPERLINK("https://klasma.github.io/Logging_1443/tillsynsmail/A 31714-2023 tillsynsbegäran mail.docx", "A 31714-2023")</f>
        <v/>
      </c>
      <c r="AE18">
        <f>HYPERLINK("https://klasma.github.io/Logging_1443/fåglar/A 31714-2023 prioriterade fågelarter.docx", "A 31714-2023")</f>
        <v/>
      </c>
    </row>
    <row r="19" ht="15" customHeight="1">
      <c r="A19" t="inlineStr">
        <is>
          <t>A 30763-2023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45112</v>
      </c>
      <c r="E19" s="1" t="n">
        <v>46314</v>
      </c>
      <c r="F19" t="inlineStr">
        <is>
          <t>VÄSTRA GÖTALANDS LÄN</t>
        </is>
      </c>
      <c r="G19" t="inlineStr">
        <is>
          <t>BOLLEBYGD</t>
        </is>
      </c>
      <c r="I19" t="n">
        <v>4.9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Vågbandad barkbock
Spillkråka</t>
        </is>
      </c>
      <c r="W19">
        <f>HYPERLINK("https://klasma.github.io/Logging_1443/artfynd/A 30763-2023 artfynd.xlsx", "A 30763-2023")</f>
        <v/>
      </c>
      <c r="X19">
        <f>HYPERLINK("https://klasma.github.io/Logging_1443/kartor/A 30763-2023 karta.png", "A 30763-2023")</f>
        <v/>
      </c>
      <c r="Y19">
        <f>HYPERLINK("https://klasma.github.io/Logging_1443/kartor_geotiff/A 30763-2023 georefererad karta.tif", "A 30763-2023")</f>
        <v/>
      </c>
      <c r="AA19">
        <f>HYPERLINK("https://klasma.github.io/Logging_1443/klagomål/A 30763-2023 FSC-klagomål.docx", "A 30763-2023")</f>
        <v/>
      </c>
      <c r="AB19">
        <f>HYPERLINK("https://klasma.github.io/Logging_1443/klagomålsmail/A 30763-2023 FSC-klagomål mail.docx", "A 30763-2023")</f>
        <v/>
      </c>
      <c r="AC19">
        <f>HYPERLINK("https://klasma.github.io/Logging_1443/tillsyn/A 30763-2023 tillsynsbegäran.docx", "A 30763-2023")</f>
        <v/>
      </c>
      <c r="AD19">
        <f>HYPERLINK("https://klasma.github.io/Logging_1443/tillsynsmail/A 30763-2023 tillsynsbegäran mail.docx", "A 30763-2023")</f>
        <v/>
      </c>
      <c r="AE19">
        <f>HYPERLINK("https://klasma.github.io/Logging_1443/fåglar/A 30763-2023 prioriterade fågelarter.docx", "A 30763-2023")</f>
        <v/>
      </c>
    </row>
    <row r="20" ht="15" customHeight="1">
      <c r="A20" t="inlineStr">
        <is>
          <t>A 30792-2023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46314</v>
      </c>
      <c r="F20" t="inlineStr">
        <is>
          <t>VÄSTRA GÖTALANDS LÄN</t>
        </is>
      </c>
      <c r="G20" t="inlineStr">
        <is>
          <t>BOLLEBYGD</t>
        </is>
      </c>
      <c r="I20" t="n">
        <v>1.4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Kungsfågel
Ärtsångare</t>
        </is>
      </c>
      <c r="W20">
        <f>HYPERLINK("https://klasma.github.io/Logging_1443/artfynd/A 30792-2023 artfynd.xlsx", "A 30792-2023")</f>
        <v/>
      </c>
      <c r="X20">
        <f>HYPERLINK("https://klasma.github.io/Logging_1443/kartor/A 30792-2023 karta.png", "A 30792-2023")</f>
        <v/>
      </c>
      <c r="Y20">
        <f>HYPERLINK("https://klasma.github.io/Logging_1443/kartor_geotiff/A 30792-2023 georefererad karta.tif", "A 30792-2023")</f>
        <v/>
      </c>
      <c r="AA20">
        <f>HYPERLINK("https://klasma.github.io/Logging_1443/klagomål/A 30792-2023 FSC-klagomål.docx", "A 30792-2023")</f>
        <v/>
      </c>
      <c r="AB20">
        <f>HYPERLINK("https://klasma.github.io/Logging_1443/klagomålsmail/A 30792-2023 FSC-klagomål mail.docx", "A 30792-2023")</f>
        <v/>
      </c>
      <c r="AC20">
        <f>HYPERLINK("https://klasma.github.io/Logging_1443/tillsyn/A 30792-2023 tillsynsbegäran.docx", "A 30792-2023")</f>
        <v/>
      </c>
      <c r="AD20">
        <f>HYPERLINK("https://klasma.github.io/Logging_1443/tillsynsmail/A 30792-2023 tillsynsbegäran mail.docx", "A 30792-2023")</f>
        <v/>
      </c>
    </row>
    <row r="21" ht="15" customHeight="1">
      <c r="A21" t="inlineStr">
        <is>
          <t>A 30754-2023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45112</v>
      </c>
      <c r="E21" s="1" t="n">
        <v>46314</v>
      </c>
      <c r="F21" t="inlineStr">
        <is>
          <t>VÄSTRA GÖTALANDS LÄN</t>
        </is>
      </c>
      <c r="G21" t="inlineStr">
        <is>
          <t>BOLLEBYGD</t>
        </is>
      </c>
      <c r="I21" t="n">
        <v>1.7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Havstulpanlav</t>
        </is>
      </c>
      <c r="W21">
        <f>HYPERLINK("https://klasma.github.io/Logging_1443/artfynd/A 30754-2023 artfynd.xlsx", "A 30754-2023")</f>
        <v/>
      </c>
      <c r="X21">
        <f>HYPERLINK("https://klasma.github.io/Logging_1443/kartor/A 30754-2023 karta.png", "A 30754-2023")</f>
        <v/>
      </c>
      <c r="Y21">
        <f>HYPERLINK("https://klasma.github.io/Logging_1443/kartor_geotiff/A 30754-2023 georefererad karta.tif", "A 30754-2023")</f>
        <v/>
      </c>
      <c r="AA21">
        <f>HYPERLINK("https://klasma.github.io/Logging_1443/klagomål/A 30754-2023 FSC-klagomål.docx", "A 30754-2023")</f>
        <v/>
      </c>
      <c r="AB21">
        <f>HYPERLINK("https://klasma.github.io/Logging_1443/klagomålsmail/A 30754-2023 FSC-klagomål mail.docx", "A 30754-2023")</f>
        <v/>
      </c>
      <c r="AC21">
        <f>HYPERLINK("https://klasma.github.io/Logging_1443/tillsyn/A 30754-2023 tillsynsbegäran.docx", "A 30754-2023")</f>
        <v/>
      </c>
      <c r="AD21">
        <f>HYPERLINK("https://klasma.github.io/Logging_1443/tillsynsmail/A 30754-2023 tillsynsbegäran mail.docx", "A 30754-2023")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46314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30653-2023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46314</v>
      </c>
      <c r="F23" t="inlineStr">
        <is>
          <t>VÄSTRA GÖTALANDS LÄN</t>
        </is>
      </c>
      <c r="G23" t="inlineStr">
        <is>
          <t>BOLLEBYGD</t>
        </is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Tjäder</t>
        </is>
      </c>
      <c r="W23">
        <f>HYPERLINK("https://klasma.github.io/Logging_1443/artfynd/A 30653-2023 artfynd.xlsx", "A 30653-2023")</f>
        <v/>
      </c>
      <c r="X23">
        <f>HYPERLINK("https://klasma.github.io/Logging_1443/kartor/A 30653-2023 karta.png", "A 30653-2023")</f>
        <v/>
      </c>
      <c r="Y23">
        <f>HYPERLINK("https://klasma.github.io/Logging_1443/kartor_geotiff/A 30653-2023 georefererad karta.tif", "A 30653-2023")</f>
        <v/>
      </c>
      <c r="AA23">
        <f>HYPERLINK("https://klasma.github.io/Logging_1443/klagomål/A 30653-2023 FSC-klagomål.docx", "A 30653-2023")</f>
        <v/>
      </c>
      <c r="AB23">
        <f>HYPERLINK("https://klasma.github.io/Logging_1443/klagomålsmail/A 30653-2023 FSC-klagomål mail.docx", "A 30653-2023")</f>
        <v/>
      </c>
      <c r="AC23">
        <f>HYPERLINK("https://klasma.github.io/Logging_1443/tillsyn/A 30653-2023 tillsynsbegäran.docx", "A 30653-2023")</f>
        <v/>
      </c>
      <c r="AD23">
        <f>HYPERLINK("https://klasma.github.io/Logging_1443/tillsynsmail/A 30653-2023 tillsynsbegäran mail.docx", "A 30653-2023")</f>
        <v/>
      </c>
      <c r="AE23">
        <f>HYPERLINK("https://klasma.github.io/Logging_1443/fåglar/A 30653-2023 prioriterade fågelarter.docx", "A 30653-2023")</f>
        <v/>
      </c>
    </row>
    <row r="24" ht="15" customHeight="1">
      <c r="A24" t="inlineStr">
        <is>
          <t>A 7339-2025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45703</v>
      </c>
      <c r="E24" s="1" t="n">
        <v>46314</v>
      </c>
      <c r="F24" t="inlineStr">
        <is>
          <t>VÄSTRA GÖTALANDS LÄN</t>
        </is>
      </c>
      <c r="G24" t="inlineStr">
        <is>
          <t>BOLLEBYGD</t>
        </is>
      </c>
      <c r="I24" t="n">
        <v>3.3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Bäckbräsma</t>
        </is>
      </c>
      <c r="W24">
        <f>HYPERLINK("https://klasma.github.io/Logging_1443/artfynd/A 7339-2025 artfynd.xlsx", "A 7339-2025")</f>
        <v/>
      </c>
      <c r="X24">
        <f>HYPERLINK("https://klasma.github.io/Logging_1443/kartor/A 7339-2025 karta.png", "A 7339-2025")</f>
        <v/>
      </c>
      <c r="Y24">
        <f>HYPERLINK("https://klasma.github.io/Logging_1443/kartor_geotiff/A 7339-2025 georefererad karta.tif", "A 7339-2025")</f>
        <v/>
      </c>
      <c r="AA24">
        <f>HYPERLINK("https://klasma.github.io/Logging_1443/klagomål/A 7339-2025 FSC-klagomål.docx", "A 7339-2025")</f>
        <v/>
      </c>
      <c r="AB24">
        <f>HYPERLINK("https://klasma.github.io/Logging_1443/klagomålsmail/A 7339-2025 FSC-klagomål mail.docx", "A 7339-2025")</f>
        <v/>
      </c>
      <c r="AC24">
        <f>HYPERLINK("https://klasma.github.io/Logging_1443/tillsyn/A 7339-2025 tillsynsbegäran.docx", "A 7339-2025")</f>
        <v/>
      </c>
      <c r="AD24">
        <f>HYPERLINK("https://klasma.github.io/Logging_1443/tillsynsmail/A 7339-2025 tillsynsbegäran mail.docx", "A 7339-2025")</f>
        <v/>
      </c>
    </row>
    <row r="25" ht="15" customHeight="1">
      <c r="A25" t="inlineStr">
        <is>
          <t>A 30745-2023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45112</v>
      </c>
      <c r="E25" s="1" t="n">
        <v>46314</v>
      </c>
      <c r="F25" t="inlineStr">
        <is>
          <t>VÄSTRA GÖTALANDS LÄN</t>
        </is>
      </c>
      <c r="G25" t="inlineStr">
        <is>
          <t>BOLLEBYGD</t>
        </is>
      </c>
      <c r="I25" t="n">
        <v>3.9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Havstulpanlav</t>
        </is>
      </c>
      <c r="W25">
        <f>HYPERLINK("https://klasma.github.io/Logging_1443/artfynd/A 30745-2023 artfynd.xlsx", "A 30745-2023")</f>
        <v/>
      </c>
      <c r="X25">
        <f>HYPERLINK("https://klasma.github.io/Logging_1443/kartor/A 30745-2023 karta.png", "A 30745-2023")</f>
        <v/>
      </c>
      <c r="Y25">
        <f>HYPERLINK("https://klasma.github.io/Logging_1443/kartor_geotiff/A 30745-2023 georefererad karta.tif", "A 30745-2023")</f>
        <v/>
      </c>
      <c r="AA25">
        <f>HYPERLINK("https://klasma.github.io/Logging_1443/klagomål/A 30745-2023 FSC-klagomål.docx", "A 30745-2023")</f>
        <v/>
      </c>
      <c r="AB25">
        <f>HYPERLINK("https://klasma.github.io/Logging_1443/klagomålsmail/A 30745-2023 FSC-klagomål mail.docx", "A 30745-2023")</f>
        <v/>
      </c>
      <c r="AC25">
        <f>HYPERLINK("https://klasma.github.io/Logging_1443/tillsyn/A 30745-2023 tillsynsbegäran.docx", "A 30745-2023")</f>
        <v/>
      </c>
      <c r="AD25">
        <f>HYPERLINK("https://klasma.github.io/Logging_1443/tillsynsmail/A 30745-2023 tillsynsbegäran mail.docx", "A 30745-2023")</f>
        <v/>
      </c>
    </row>
    <row r="26" ht="15" customHeight="1">
      <c r="A26" t="inlineStr">
        <is>
          <t>A 35491-2023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45146</v>
      </c>
      <c r="E26" s="1" t="n">
        <v>46314</v>
      </c>
      <c r="F26" t="inlineStr">
        <is>
          <t>VÄSTRA GÖTALANDS LÄN</t>
        </is>
      </c>
      <c r="G26" t="inlineStr">
        <is>
          <t>BOLLEBYGD</t>
        </is>
      </c>
      <c r="I26" t="n">
        <v>3.5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Knärot</t>
        </is>
      </c>
      <c r="W26">
        <f>HYPERLINK("https://klasma.github.io/Logging_1443/artfynd/A 35491-2023 artfynd.xlsx", "A 35491-2023")</f>
        <v/>
      </c>
      <c r="X26">
        <f>HYPERLINK("https://klasma.github.io/Logging_1443/kartor/A 35491-2023 karta.png", "A 35491-2023")</f>
        <v/>
      </c>
      <c r="Y26">
        <f>HYPERLINK("https://klasma.github.io/Logging_1443/kartor_geotiff/A 35491-2023 georefererad karta.tif", "A 35491-2023")</f>
        <v/>
      </c>
      <c r="Z26">
        <f>HYPERLINK("https://klasma.github.io/Logging_1443/knärot/A 35491-2023 karta knärot.png", "A 35491-2023")</f>
        <v/>
      </c>
      <c r="AA26">
        <f>HYPERLINK("https://klasma.github.io/Logging_1443/klagomål/A 35491-2023 FSC-klagomål.docx", "A 35491-2023")</f>
        <v/>
      </c>
      <c r="AB26">
        <f>HYPERLINK("https://klasma.github.io/Logging_1443/klagomålsmail/A 35491-2023 FSC-klagomål mail.docx", "A 35491-2023")</f>
        <v/>
      </c>
      <c r="AC26">
        <f>HYPERLINK("https://klasma.github.io/Logging_1443/tillsyn/A 35491-2023 tillsynsbegäran.docx", "A 35491-2023")</f>
        <v/>
      </c>
      <c r="AD26">
        <f>HYPERLINK("https://klasma.github.io/Logging_1443/tillsynsmail/A 35491-2023 tillsynsbegäran mail.docx", "A 35491-2023")</f>
        <v/>
      </c>
    </row>
    <row r="27" ht="15" customHeight="1">
      <c r="A27" t="inlineStr">
        <is>
          <t>A 18822-2026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46128</v>
      </c>
      <c r="E27" s="1" t="n">
        <v>46314</v>
      </c>
      <c r="F27" t="inlineStr">
        <is>
          <t>VÄSTRA GÖTALANDS LÄN</t>
        </is>
      </c>
      <c r="G27" t="inlineStr">
        <is>
          <t>BOLLEBYGD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Ask</t>
        </is>
      </c>
      <c r="W27">
        <f>HYPERLINK("https://klasma.github.io/Logging_1443/artfynd/A 18822-2026 artfynd.xlsx", "A 18822-2026")</f>
        <v/>
      </c>
      <c r="X27">
        <f>HYPERLINK("https://klasma.github.io/Logging_1443/kartor/A 18822-2026 karta.png", "A 18822-2026")</f>
        <v/>
      </c>
      <c r="Y27">
        <f>HYPERLINK("https://klasma.github.io/Logging_1443/kartor_geotiff/A 18822-2026 georefererad karta.tif", "A 18822-2026")</f>
        <v/>
      </c>
      <c r="AA27">
        <f>HYPERLINK("https://klasma.github.io/Logging_1443/klagomål/A 18822-2026 FSC-klagomål.docx", "A 18822-2026")</f>
        <v/>
      </c>
      <c r="AB27">
        <f>HYPERLINK("https://klasma.github.io/Logging_1443/klagomålsmail/A 18822-2026 FSC-klagomål mail.docx", "A 18822-2026")</f>
        <v/>
      </c>
      <c r="AC27">
        <f>HYPERLINK("https://klasma.github.io/Logging_1443/tillsyn/A 18822-2026 tillsynsbegäran.docx", "A 18822-2026")</f>
        <v/>
      </c>
      <c r="AD27">
        <f>HYPERLINK("https://klasma.github.io/Logging_1443/tillsynsmail/A 18822-2026 tillsynsbegäran mail.docx", "A 18822-2026")</f>
        <v/>
      </c>
    </row>
    <row r="28" ht="15" customHeight="1">
      <c r="A28" t="inlineStr">
        <is>
          <t>A 30662-2023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46314</v>
      </c>
      <c r="F28" t="inlineStr">
        <is>
          <t>VÄSTRA GÖTALANDS LÄN</t>
        </is>
      </c>
      <c r="G28" t="inlineStr">
        <is>
          <t>BOLLEBYGD</t>
        </is>
      </c>
      <c r="I28" t="n">
        <v>2.7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Svartvit flugsnappare</t>
        </is>
      </c>
      <c r="W28">
        <f>HYPERLINK("https://klasma.github.io/Logging_1443/artfynd/A 30662-2023 artfynd.xlsx", "A 30662-2023")</f>
        <v/>
      </c>
      <c r="X28">
        <f>HYPERLINK("https://klasma.github.io/Logging_1443/kartor/A 30662-2023 karta.png", "A 30662-2023")</f>
        <v/>
      </c>
      <c r="Y28">
        <f>HYPERLINK("https://klasma.github.io/Logging_1443/kartor_geotiff/A 30662-2023 georefererad karta.tif", "A 30662-2023")</f>
        <v/>
      </c>
      <c r="AA28">
        <f>HYPERLINK("https://klasma.github.io/Logging_1443/klagomål/A 30662-2023 FSC-klagomål.docx", "A 30662-2023")</f>
        <v/>
      </c>
      <c r="AB28">
        <f>HYPERLINK("https://klasma.github.io/Logging_1443/klagomålsmail/A 30662-2023 FSC-klagomål mail.docx", "A 30662-2023")</f>
        <v/>
      </c>
      <c r="AC28">
        <f>HYPERLINK("https://klasma.github.io/Logging_1443/tillsyn/A 30662-2023 tillsynsbegäran.docx", "A 30662-2023")</f>
        <v/>
      </c>
      <c r="AD28">
        <f>HYPERLINK("https://klasma.github.io/Logging_1443/tillsynsmail/A 30662-2023 tillsynsbegäran mail.docx", "A 30662-2023")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46314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23906-2024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45455</v>
      </c>
      <c r="E30" s="1" t="n">
        <v>46314</v>
      </c>
      <c r="F30" t="inlineStr">
        <is>
          <t>VÄSTRA GÖTALANDS LÄN</t>
        </is>
      </c>
      <c r="G30" t="inlineStr">
        <is>
          <t>BOLLEBYGD</t>
        </is>
      </c>
      <c r="I30" t="n">
        <v>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Bäckbräsma</t>
        </is>
      </c>
      <c r="W30">
        <f>HYPERLINK("https://klasma.github.io/Logging_1443/artfynd/A 23906-2024 artfynd.xlsx", "A 23906-2024")</f>
        <v/>
      </c>
      <c r="X30">
        <f>HYPERLINK("https://klasma.github.io/Logging_1443/kartor/A 23906-2024 karta.png", "A 23906-2024")</f>
        <v/>
      </c>
      <c r="Y30">
        <f>HYPERLINK("https://klasma.github.io/Logging_1443/kartor_geotiff/A 23906-2024 georefererad karta.tif", "A 23906-2024")</f>
        <v/>
      </c>
      <c r="AA30">
        <f>HYPERLINK("https://klasma.github.io/Logging_1443/klagomål/A 23906-2024 FSC-klagomål.docx", "A 23906-2024")</f>
        <v/>
      </c>
      <c r="AB30">
        <f>HYPERLINK("https://klasma.github.io/Logging_1443/klagomålsmail/A 23906-2024 FSC-klagomål mail.docx", "A 23906-2024")</f>
        <v/>
      </c>
      <c r="AC30">
        <f>HYPERLINK("https://klasma.github.io/Logging_1443/tillsyn/A 23906-2024 tillsynsbegäran.docx", "A 23906-2024")</f>
        <v/>
      </c>
      <c r="AD30">
        <f>HYPERLINK("https://klasma.github.io/Logging_1443/tillsynsmail/A 23906-2024 tillsynsbegäran mail.docx", "A 23906-2024")</f>
        <v/>
      </c>
    </row>
    <row r="31" ht="15" customHeight="1">
      <c r="A31" t="inlineStr">
        <is>
          <t>A 41586-2026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46302</v>
      </c>
      <c r="E31" s="1" t="n">
        <v>46314</v>
      </c>
      <c r="F31" t="inlineStr">
        <is>
          <t>VÄSTRA GÖTALANDS LÄN</t>
        </is>
      </c>
      <c r="G31" t="inlineStr">
        <is>
          <t>BOLLEBYGD</t>
        </is>
      </c>
      <c r="H31" t="inlineStr">
        <is>
          <t>Sveaskog</t>
        </is>
      </c>
      <c r="I31" t="n">
        <v>5.4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HYPERLINK("https://klasma.github.io/Logging_1443/artfynd/A 41586-2026 artfynd.xlsx", "A 41586-2026")</f>
        <v/>
      </c>
      <c r="X31">
        <f>HYPERLINK("https://klasma.github.io/Logging_1443/kartor/A 41586-2026 karta.png", "A 41586-2026")</f>
        <v/>
      </c>
      <c r="Y31">
        <f>HYPERLINK("https://klasma.github.io/Logging_1443/kartor_geotiff/A 41586-2026 georefererad karta.tif", "A 41586-2026")</f>
        <v/>
      </c>
      <c r="AA31">
        <f>HYPERLINK("https://klasma.github.io/Logging_1443/klagomål/A 41586-2026 FSC-klagomål.docx", "A 41586-2026")</f>
        <v/>
      </c>
      <c r="AB31">
        <f>HYPERLINK("https://klasma.github.io/Logging_1443/klagomålsmail/A 41586-2026 FSC-klagomål mail.docx", "A 41586-2026")</f>
        <v/>
      </c>
      <c r="AC31">
        <f>HYPERLINK("https://klasma.github.io/Logging_1443/tillsyn/A 41586-2026 tillsynsbegäran.docx", "A 41586-2026")</f>
        <v/>
      </c>
      <c r="AD31">
        <f>HYPERLINK("https://klasma.github.io/Logging_1443/tillsynsmail/A 41586-2026 tillsynsbegäran mail.docx", "A 41586-2026")</f>
        <v/>
      </c>
    </row>
    <row r="32" ht="15" customHeight="1">
      <c r="A32" t="inlineStr">
        <is>
          <t>A 32503-2025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45838</v>
      </c>
      <c r="E32" s="1" t="n">
        <v>46314</v>
      </c>
      <c r="F32" t="inlineStr">
        <is>
          <t>VÄSTRA GÖTALANDS LÄN</t>
        </is>
      </c>
      <c r="G32" t="inlineStr">
        <is>
          <t>BOLLEBYGD</t>
        </is>
      </c>
      <c r="I32" t="n">
        <v>0.6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Fällmossa</t>
        </is>
      </c>
      <c r="W32">
        <f>HYPERLINK("https://klasma.github.io/Logging_1443/artfynd/A 32503-2025 artfynd.xlsx", "A 32503-2025")</f>
        <v/>
      </c>
      <c r="X32">
        <f>HYPERLINK("https://klasma.github.io/Logging_1443/kartor/A 32503-2025 karta.png", "A 32503-2025")</f>
        <v/>
      </c>
      <c r="Y32">
        <f>HYPERLINK("https://klasma.github.io/Logging_1443/kartor_geotiff/A 32503-2025 georefererad karta.tif", "A 32503-2025")</f>
        <v/>
      </c>
      <c r="AA32">
        <f>HYPERLINK("https://klasma.github.io/Logging_1443/klagomål/A 32503-2025 FSC-klagomål.docx", "A 32503-2025")</f>
        <v/>
      </c>
      <c r="AB32">
        <f>HYPERLINK("https://klasma.github.io/Logging_1443/klagomålsmail/A 32503-2025 FSC-klagomål mail.docx", "A 32503-2025")</f>
        <v/>
      </c>
      <c r="AC32">
        <f>HYPERLINK("https://klasma.github.io/Logging_1443/tillsyn/A 32503-2025 tillsynsbegäran.docx", "A 32503-2025")</f>
        <v/>
      </c>
      <c r="AD32">
        <f>HYPERLINK("https://klasma.github.io/Logging_1443/tillsynsmail/A 32503-2025 tillsynsbegäran mail.docx", "A 32503-2025")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46314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46314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46314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46314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46314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46314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46314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46314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46314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46314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30633-2023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45112</v>
      </c>
      <c r="E43" s="1" t="n">
        <v>46314</v>
      </c>
      <c r="F43" t="inlineStr">
        <is>
          <t>VÄSTRA GÖTALANDS LÄN</t>
        </is>
      </c>
      <c r="G43" t="inlineStr">
        <is>
          <t>BOLLEBYGD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30772-2023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45112</v>
      </c>
      <c r="E44" s="1" t="n">
        <v>46314</v>
      </c>
      <c r="F44" t="inlineStr">
        <is>
          <t>VÄSTRA GÖTALANDS LÄN</t>
        </is>
      </c>
      <c r="G44" t="inlineStr">
        <is>
          <t>BOLLEBYGD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31889-2023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45118</v>
      </c>
      <c r="E45" s="1" t="n">
        <v>46314</v>
      </c>
      <c r="F45" t="inlineStr">
        <is>
          <t>VÄSTRA GÖTALANDS LÄN</t>
        </is>
      </c>
      <c r="G45" t="inlineStr">
        <is>
          <t>BOLLEBYGD</t>
        </is>
      </c>
      <c r="I45" t="n">
        <v>0.7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4782-2024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45328</v>
      </c>
      <c r="E46" s="1" t="n">
        <v>46314</v>
      </c>
      <c r="F46" t="inlineStr">
        <is>
          <t>VÄSTRA GÖTALANDS LÄN</t>
        </is>
      </c>
      <c r="G46" t="inlineStr">
        <is>
          <t>BOLLEBYGD</t>
        </is>
      </c>
      <c r="I46" t="n">
        <v>0.6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51229-2022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44868</v>
      </c>
      <c r="E47" s="1" t="n">
        <v>46314</v>
      </c>
      <c r="F47" t="inlineStr">
        <is>
          <t>VÄSTRA GÖTALANDS LÄN</t>
        </is>
      </c>
      <c r="G47" t="inlineStr">
        <is>
          <t>BOLLEBYGD</t>
        </is>
      </c>
      <c r="I47" t="n">
        <v>5.8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30769-2023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45112</v>
      </c>
      <c r="E48" s="1" t="n">
        <v>46314</v>
      </c>
      <c r="F48" t="inlineStr">
        <is>
          <t>VÄSTRA GÖTALANDS LÄN</t>
        </is>
      </c>
      <c r="G48" t="inlineStr">
        <is>
          <t>BOLLEBYGD</t>
        </is>
      </c>
      <c r="I48" t="n">
        <v>2.1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30794-2023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45112</v>
      </c>
      <c r="E49" s="1" t="n">
        <v>46314</v>
      </c>
      <c r="F49" t="inlineStr">
        <is>
          <t>VÄSTRA GÖTALANDS LÄN</t>
        </is>
      </c>
      <c r="G49" t="inlineStr">
        <is>
          <t>BOLLEBYGD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6745-2023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44966</v>
      </c>
      <c r="E50" s="1" t="n">
        <v>46314</v>
      </c>
      <c r="F50" t="inlineStr">
        <is>
          <t>VÄSTRA GÖTALANDS LÄN</t>
        </is>
      </c>
      <c r="G50" t="inlineStr">
        <is>
          <t>BOLLEBYGD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18615-2025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45763</v>
      </c>
      <c r="E51" s="1" t="n">
        <v>46314</v>
      </c>
      <c r="F51" t="inlineStr">
        <is>
          <t>VÄSTRA GÖTALANDS LÄN</t>
        </is>
      </c>
      <c r="G51" t="inlineStr">
        <is>
          <t>BOLLEBYGD</t>
        </is>
      </c>
      <c r="I51" t="n">
        <v>5.7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3237-2023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44946</v>
      </c>
      <c r="E52" s="1" t="n">
        <v>46314</v>
      </c>
      <c r="F52" t="inlineStr">
        <is>
          <t>VÄSTRA GÖTALANDS LÄN</t>
        </is>
      </c>
      <c r="G52" t="inlineStr">
        <is>
          <t>BOLLEBYGD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31724-2023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45117</v>
      </c>
      <c r="E53" s="1" t="n">
        <v>46314</v>
      </c>
      <c r="F53" t="inlineStr">
        <is>
          <t>VÄSTRA GÖTALANDS LÄN</t>
        </is>
      </c>
      <c r="G53" t="inlineStr">
        <is>
          <t>BOLLEBYGD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31726-2023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45117</v>
      </c>
      <c r="E54" s="1" t="n">
        <v>46314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61671-2022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44917</v>
      </c>
      <c r="E55" s="1" t="n">
        <v>46314</v>
      </c>
      <c r="F55" t="inlineStr">
        <is>
          <t>VÄSTRA GÖTALANDS LÄN</t>
        </is>
      </c>
      <c r="G55" t="inlineStr">
        <is>
          <t>BOLLEBYGD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56334-2024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45624</v>
      </c>
      <c r="E56" s="1" t="n">
        <v>46314</v>
      </c>
      <c r="F56" t="inlineStr">
        <is>
          <t>VÄSTRA GÖTALANDS LÄN</t>
        </is>
      </c>
      <c r="G56" t="inlineStr">
        <is>
          <t>BOLLEBYGD</t>
        </is>
      </c>
      <c r="I56" t="n">
        <v>0.3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61318-2023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45264</v>
      </c>
      <c r="E57" s="1" t="n">
        <v>46314</v>
      </c>
      <c r="F57" t="inlineStr">
        <is>
          <t>VÄSTRA GÖTALANDS LÄN</t>
        </is>
      </c>
      <c r="G57" t="inlineStr">
        <is>
          <t>BOLLEBYGD</t>
        </is>
      </c>
      <c r="I57" t="n">
        <v>7.2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42483-2023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45180</v>
      </c>
      <c r="E58" s="1" t="n">
        <v>46314</v>
      </c>
      <c r="F58" t="inlineStr">
        <is>
          <t>VÄSTRA GÖTALANDS LÄN</t>
        </is>
      </c>
      <c r="G58" t="inlineStr">
        <is>
          <t>BOLLEBYGD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5072-2023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44958</v>
      </c>
      <c r="E59" s="1" t="n">
        <v>46314</v>
      </c>
      <c r="F59" t="inlineStr">
        <is>
          <t>VÄSTRA GÖTALANDS LÄN</t>
        </is>
      </c>
      <c r="G59" t="inlineStr">
        <is>
          <t>BOLLEBYGD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8570-2025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45709</v>
      </c>
      <c r="E60" s="1" t="n">
        <v>46314</v>
      </c>
      <c r="F60" t="inlineStr">
        <is>
          <t>VÄSTRA GÖTALANDS LÄN</t>
        </is>
      </c>
      <c r="G60" t="inlineStr">
        <is>
          <t>BOLLEBYGD</t>
        </is>
      </c>
      <c r="I60" t="n">
        <v>1.9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17925-2022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44683</v>
      </c>
      <c r="E61" s="1" t="n">
        <v>46314</v>
      </c>
      <c r="F61" t="inlineStr">
        <is>
          <t>VÄSTRA GÖTALANDS LÄN</t>
        </is>
      </c>
      <c r="G61" t="inlineStr">
        <is>
          <t>BOLLEBYGD</t>
        </is>
      </c>
      <c r="I61" t="n">
        <v>1.4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54295-2023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45232</v>
      </c>
      <c r="E62" s="1" t="n">
        <v>46314</v>
      </c>
      <c r="F62" t="inlineStr">
        <is>
          <t>VÄSTRA GÖTALANDS LÄN</t>
        </is>
      </c>
      <c r="G62" t="inlineStr">
        <is>
          <t>BOLLEBYGD</t>
        </is>
      </c>
      <c r="I62" t="n">
        <v>2.6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47980-2023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45204</v>
      </c>
      <c r="E63" s="1" t="n">
        <v>46314</v>
      </c>
      <c r="F63" t="inlineStr">
        <is>
          <t>VÄSTRA GÖTALANDS LÄN</t>
        </is>
      </c>
      <c r="G63" t="inlineStr">
        <is>
          <t>BOLLEBYGD</t>
        </is>
      </c>
      <c r="I63" t="n">
        <v>4.4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9401-2024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45359</v>
      </c>
      <c r="E64" s="1" t="n">
        <v>46314</v>
      </c>
      <c r="F64" t="inlineStr">
        <is>
          <t>VÄSTRA GÖTALANDS LÄN</t>
        </is>
      </c>
      <c r="G64" t="inlineStr">
        <is>
          <t>BOLLEBYGD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9527-2023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44981</v>
      </c>
      <c r="E65" s="1" t="n">
        <v>46314</v>
      </c>
      <c r="F65" t="inlineStr">
        <is>
          <t>VÄSTRA GÖTALANDS LÄN</t>
        </is>
      </c>
      <c r="G65" t="inlineStr">
        <is>
          <t>BOLLEBYGD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50981-2023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46314</v>
      </c>
      <c r="F66" t="inlineStr">
        <is>
          <t>VÄSTRA GÖTALANDS LÄN</t>
        </is>
      </c>
      <c r="G66" t="inlineStr">
        <is>
          <t>BOLLEBYGD</t>
        </is>
      </c>
      <c r="H66" t="inlineStr">
        <is>
          <t>Sveaskog</t>
        </is>
      </c>
      <c r="I66" t="n">
        <v>1.9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50302-2023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45216</v>
      </c>
      <c r="E67" s="1" t="n">
        <v>46314</v>
      </c>
      <c r="F67" t="inlineStr">
        <is>
          <t>VÄSTRA GÖTALANDS LÄN</t>
        </is>
      </c>
      <c r="G67" t="inlineStr">
        <is>
          <t>BOLLEBYGD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47265-2024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45586</v>
      </c>
      <c r="E68" s="1" t="n">
        <v>46314</v>
      </c>
      <c r="F68" t="inlineStr">
        <is>
          <t>VÄSTRA GÖTALANDS LÄN</t>
        </is>
      </c>
      <c r="G68" t="inlineStr">
        <is>
          <t>BOLLEBYGD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6064-2025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45696</v>
      </c>
      <c r="E69" s="1" t="n">
        <v>46314</v>
      </c>
      <c r="F69" t="inlineStr">
        <is>
          <t>VÄSTRA GÖTALANDS LÄN</t>
        </is>
      </c>
      <c r="G69" t="inlineStr">
        <is>
          <t>BOLLEBYGD</t>
        </is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59472-2023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45254</v>
      </c>
      <c r="E70" s="1" t="n">
        <v>46314</v>
      </c>
      <c r="F70" t="inlineStr">
        <is>
          <t>VÄSTRA GÖTALANDS LÄN</t>
        </is>
      </c>
      <c r="G70" t="inlineStr">
        <is>
          <t>BOLLEBYGD</t>
        </is>
      </c>
      <c r="I70" t="n">
        <v>0.4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9530-2023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44981</v>
      </c>
      <c r="E71" s="1" t="n">
        <v>46314</v>
      </c>
      <c r="F71" t="inlineStr">
        <is>
          <t>VÄSTRA GÖTALANDS LÄN</t>
        </is>
      </c>
      <c r="G71" t="inlineStr">
        <is>
          <t>BOLLEBYGD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52371-2025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45953</v>
      </c>
      <c r="E72" s="1" t="n">
        <v>46314</v>
      </c>
      <c r="F72" t="inlineStr">
        <is>
          <t>VÄSTRA GÖTALANDS LÄN</t>
        </is>
      </c>
      <c r="G72" t="inlineStr">
        <is>
          <t>BOLLEBYGD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56305-2025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45974</v>
      </c>
      <c r="E73" s="1" t="n">
        <v>46314</v>
      </c>
      <c r="F73" t="inlineStr">
        <is>
          <t>VÄSTRA GÖTALANDS LÄN</t>
        </is>
      </c>
      <c r="G73" t="inlineStr">
        <is>
          <t>BOLLEBYGD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36131-2024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45534</v>
      </c>
      <c r="E74" s="1" t="n">
        <v>46314</v>
      </c>
      <c r="F74" t="inlineStr">
        <is>
          <t>VÄSTRA GÖTALANDS LÄN</t>
        </is>
      </c>
      <c r="G74" t="inlineStr">
        <is>
          <t>BOLLEBYGD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36532-2024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45537</v>
      </c>
      <c r="E75" s="1" t="n">
        <v>46314</v>
      </c>
      <c r="F75" t="inlineStr">
        <is>
          <t>VÄSTRA GÖTALANDS LÄN</t>
        </is>
      </c>
      <c r="G75" t="inlineStr">
        <is>
          <t>BOLLEBYGD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31546-2022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44775</v>
      </c>
      <c r="E76" s="1" t="n">
        <v>46314</v>
      </c>
      <c r="F76" t="inlineStr">
        <is>
          <t>VÄSTRA GÖTALANDS LÄN</t>
        </is>
      </c>
      <c r="G76" t="inlineStr">
        <is>
          <t>BOLLEBYGD</t>
        </is>
      </c>
      <c r="I76" t="n">
        <v>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25694-2025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45803</v>
      </c>
      <c r="E77" s="1" t="n">
        <v>46314</v>
      </c>
      <c r="F77" t="inlineStr">
        <is>
          <t>VÄSTRA GÖTALANDS LÄN</t>
        </is>
      </c>
      <c r="G77" t="inlineStr">
        <is>
          <t>BOLLEBYGD</t>
        </is>
      </c>
      <c r="I77" t="n">
        <v>2.5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47522-2024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45587</v>
      </c>
      <c r="E78" s="1" t="n">
        <v>46314</v>
      </c>
      <c r="F78" t="inlineStr">
        <is>
          <t>VÄSTRA GÖTALANDS LÄN</t>
        </is>
      </c>
      <c r="G78" t="inlineStr">
        <is>
          <t>BOLLEBYGD</t>
        </is>
      </c>
      <c r="H78" t="inlineStr">
        <is>
          <t>Sveaskog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65143-2023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45288</v>
      </c>
      <c r="E79" s="1" t="n">
        <v>46314</v>
      </c>
      <c r="F79" t="inlineStr">
        <is>
          <t>VÄSTRA GÖTALANDS LÄN</t>
        </is>
      </c>
      <c r="G79" t="inlineStr">
        <is>
          <t>BOLLEBYGD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40774-2025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45897</v>
      </c>
      <c r="E80" s="1" t="n">
        <v>46314</v>
      </c>
      <c r="F80" t="inlineStr">
        <is>
          <t>VÄSTRA GÖTALANDS LÄN</t>
        </is>
      </c>
      <c r="G80" t="inlineStr">
        <is>
          <t>BOLLEBYGD</t>
        </is>
      </c>
      <c r="I80" t="n">
        <v>6.7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25928-2023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45090</v>
      </c>
      <c r="E81" s="1" t="n">
        <v>46314</v>
      </c>
      <c r="F81" t="inlineStr">
        <is>
          <t>VÄSTRA GÖTALANDS LÄN</t>
        </is>
      </c>
      <c r="G81" t="inlineStr">
        <is>
          <t>BOLLEBYGD</t>
        </is>
      </c>
      <c r="I81" t="n">
        <v>2.7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20598-2026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46140</v>
      </c>
      <c r="E82" s="1" t="n">
        <v>46314</v>
      </c>
      <c r="F82" t="inlineStr">
        <is>
          <t>VÄSTRA GÖTALANDS LÄN</t>
        </is>
      </c>
      <c r="G82" t="inlineStr">
        <is>
          <t>BOLLEBYGD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20600-2026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46140</v>
      </c>
      <c r="E83" s="1" t="n">
        <v>46314</v>
      </c>
      <c r="F83" t="inlineStr">
        <is>
          <t>VÄSTRA GÖTALANDS LÄN</t>
        </is>
      </c>
      <c r="G83" t="inlineStr">
        <is>
          <t>BOLLEBYGD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20782-2026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46141</v>
      </c>
      <c r="E84" s="1" t="n">
        <v>46314</v>
      </c>
      <c r="F84" t="inlineStr">
        <is>
          <t>VÄSTRA GÖTALANDS LÄN</t>
        </is>
      </c>
      <c r="G84" t="inlineStr">
        <is>
          <t>BOLLEBYGD</t>
        </is>
      </c>
      <c r="I84" t="n">
        <v>1.2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30628-2023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45112</v>
      </c>
      <c r="E85" s="1" t="n">
        <v>46314</v>
      </c>
      <c r="F85" t="inlineStr">
        <is>
          <t>VÄSTRA GÖTALANDS LÄN</t>
        </is>
      </c>
      <c r="G85" t="inlineStr">
        <is>
          <t>BOLLEBYGD</t>
        </is>
      </c>
      <c r="I85" t="n">
        <v>4.3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30643-2023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45112</v>
      </c>
      <c r="E86" s="1" t="n">
        <v>46314</v>
      </c>
      <c r="F86" t="inlineStr">
        <is>
          <t>VÄSTRA GÖTALANDS LÄN</t>
        </is>
      </c>
      <c r="G86" t="inlineStr">
        <is>
          <t>BOLLEBYGD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22834-2024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45448</v>
      </c>
      <c r="E87" s="1" t="n">
        <v>46314</v>
      </c>
      <c r="F87" t="inlineStr">
        <is>
          <t>VÄSTRA GÖTALANDS LÄN</t>
        </is>
      </c>
      <c r="G87" t="inlineStr">
        <is>
          <t>BOLLEBYGD</t>
        </is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41910-2024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45561</v>
      </c>
      <c r="E88" s="1" t="n">
        <v>46314</v>
      </c>
      <c r="F88" t="inlineStr">
        <is>
          <t>VÄSTRA GÖTALANDS LÄN</t>
        </is>
      </c>
      <c r="G88" t="inlineStr">
        <is>
          <t>BOLLEBYGD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67455-2021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44524</v>
      </c>
      <c r="E89" s="1" t="n">
        <v>46314</v>
      </c>
      <c r="F89" t="inlineStr">
        <is>
          <t>VÄSTRA GÖTALANDS LÄN</t>
        </is>
      </c>
      <c r="G89" t="inlineStr">
        <is>
          <t>BOLLEBYGD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58093-2023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45248</v>
      </c>
      <c r="E90" s="1" t="n">
        <v>46314</v>
      </c>
      <c r="F90" t="inlineStr">
        <is>
          <t>VÄSTRA GÖTALANDS LÄN</t>
        </is>
      </c>
      <c r="G90" t="inlineStr">
        <is>
          <t>BOLLEBYGD</t>
        </is>
      </c>
      <c r="I90" t="n">
        <v>3.8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54144-2022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44881</v>
      </c>
      <c r="E91" s="1" t="n">
        <v>46314</v>
      </c>
      <c r="F91" t="inlineStr">
        <is>
          <t>VÄSTRA GÖTALANDS LÄN</t>
        </is>
      </c>
      <c r="G91" t="inlineStr">
        <is>
          <t>BOLLEBYGD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50057-2023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45215</v>
      </c>
      <c r="E92" s="1" t="n">
        <v>46314</v>
      </c>
      <c r="F92" t="inlineStr">
        <is>
          <t>VÄSTRA GÖTALANDS LÄN</t>
        </is>
      </c>
      <c r="G92" t="inlineStr">
        <is>
          <t>BOLLEBYGD</t>
        </is>
      </c>
      <c r="I92" t="n">
        <v>2.7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46511-2023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45197</v>
      </c>
      <c r="E93" s="1" t="n">
        <v>46314</v>
      </c>
      <c r="F93" t="inlineStr">
        <is>
          <t>VÄSTRA GÖTALANDS LÄN</t>
        </is>
      </c>
      <c r="G93" t="inlineStr">
        <is>
          <t>BOLLEBYGD</t>
        </is>
      </c>
      <c r="I93" t="n">
        <v>3.8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47279-2025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45930</v>
      </c>
      <c r="E94" s="1" t="n">
        <v>46314</v>
      </c>
      <c r="F94" t="inlineStr">
        <is>
          <t>VÄSTRA GÖTALANDS LÄN</t>
        </is>
      </c>
      <c r="G94" t="inlineStr">
        <is>
          <t>BOLLEBYGD</t>
        </is>
      </c>
      <c r="I94" t="n">
        <v>5.8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48212-2025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45933</v>
      </c>
      <c r="E95" s="1" t="n">
        <v>46314</v>
      </c>
      <c r="F95" t="inlineStr">
        <is>
          <t>VÄSTRA GÖTALANDS LÄN</t>
        </is>
      </c>
      <c r="G95" t="inlineStr">
        <is>
          <t>BOLLEBYGD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49269-2025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45938</v>
      </c>
      <c r="E96" s="1" t="n">
        <v>46314</v>
      </c>
      <c r="F96" t="inlineStr">
        <is>
          <t>VÄSTRA GÖTALANDS LÄN</t>
        </is>
      </c>
      <c r="G96" t="inlineStr">
        <is>
          <t>BOLLEBYGD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6653-2022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44602</v>
      </c>
      <c r="E97" s="1" t="n">
        <v>46314</v>
      </c>
      <c r="F97" t="inlineStr">
        <is>
          <t>VÄSTRA GÖTALANDS LÄN</t>
        </is>
      </c>
      <c r="G97" t="inlineStr">
        <is>
          <t>BOLLEBYGD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64207-2021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44510</v>
      </c>
      <c r="E98" s="1" t="n">
        <v>46314</v>
      </c>
      <c r="F98" t="inlineStr">
        <is>
          <t>VÄSTRA GÖTALANDS LÄN</t>
        </is>
      </c>
      <c r="G98" t="inlineStr">
        <is>
          <t>BOLLEBYGD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2006-2024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45308</v>
      </c>
      <c r="E99" s="1" t="n">
        <v>46314</v>
      </c>
      <c r="F99" t="inlineStr">
        <is>
          <t>VÄSTRA GÖTALANDS LÄN</t>
        </is>
      </c>
      <c r="G99" t="inlineStr">
        <is>
          <t>BOLLEBYGD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24368-2022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44726</v>
      </c>
      <c r="E100" s="1" t="n">
        <v>46314</v>
      </c>
      <c r="F100" t="inlineStr">
        <is>
          <t>VÄSTRA GÖTALANDS LÄN</t>
        </is>
      </c>
      <c r="G100" t="inlineStr">
        <is>
          <t>BOLLEBYGD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27103-2024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45471</v>
      </c>
      <c r="E101" s="1" t="n">
        <v>46314</v>
      </c>
      <c r="F101" t="inlineStr">
        <is>
          <t>VÄSTRA GÖTALANDS LÄN</t>
        </is>
      </c>
      <c r="G101" t="inlineStr">
        <is>
          <t>BOLLEBYGD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51613-2025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45951</v>
      </c>
      <c r="E102" s="1" t="n">
        <v>46314</v>
      </c>
      <c r="F102" t="inlineStr">
        <is>
          <t>VÄSTRA GÖTALANDS LÄN</t>
        </is>
      </c>
      <c r="G102" t="inlineStr">
        <is>
          <t>BOLLEBYGD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55159-2024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45621</v>
      </c>
      <c r="E103" s="1" t="n">
        <v>46314</v>
      </c>
      <c r="F103" t="inlineStr">
        <is>
          <t>VÄSTRA GÖTALANDS LÄN</t>
        </is>
      </c>
      <c r="G103" t="inlineStr">
        <is>
          <t>BOLLEBYGD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52513-2025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45954</v>
      </c>
      <c r="E104" s="1" t="n">
        <v>46314</v>
      </c>
      <c r="F104" t="inlineStr">
        <is>
          <t>VÄSTRA GÖTALANDS LÄN</t>
        </is>
      </c>
      <c r="G104" t="inlineStr">
        <is>
          <t>BOLLEBYGD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52511-2025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45954</v>
      </c>
      <c r="E105" s="1" t="n">
        <v>46314</v>
      </c>
      <c r="F105" t="inlineStr">
        <is>
          <t>VÄSTRA GÖTALANDS LÄN</t>
        </is>
      </c>
      <c r="G105" t="inlineStr">
        <is>
          <t>BOLLEBYGD</t>
        </is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52939-2025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45957</v>
      </c>
      <c r="E106" s="1" t="n">
        <v>46314</v>
      </c>
      <c r="F106" t="inlineStr">
        <is>
          <t>VÄSTRA GÖTALANDS LÄN</t>
        </is>
      </c>
      <c r="G106" t="inlineStr">
        <is>
          <t>BOLLEBYGD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38586-2023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45162</v>
      </c>
      <c r="E107" s="1" t="n">
        <v>46314</v>
      </c>
      <c r="F107" t="inlineStr">
        <is>
          <t>VÄSTRA GÖTALANDS LÄN</t>
        </is>
      </c>
      <c r="G107" t="inlineStr">
        <is>
          <t>BOLLEBYGD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9159-2024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45358</v>
      </c>
      <c r="E108" s="1" t="n">
        <v>46314</v>
      </c>
      <c r="F108" t="inlineStr">
        <is>
          <t>VÄSTRA GÖTALANDS LÄN</t>
        </is>
      </c>
      <c r="G108" t="inlineStr">
        <is>
          <t>BOLLEBYGD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31746-2023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45117</v>
      </c>
      <c r="E109" s="1" t="n">
        <v>46314</v>
      </c>
      <c r="F109" t="inlineStr">
        <is>
          <t>VÄSTRA GÖTALANDS LÄN</t>
        </is>
      </c>
      <c r="G109" t="inlineStr">
        <is>
          <t>BOLLEBYGD</t>
        </is>
      </c>
      <c r="I109" t="n">
        <v>1.2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63725-2023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45276</v>
      </c>
      <c r="E110" s="1" t="n">
        <v>46314</v>
      </c>
      <c r="F110" t="inlineStr">
        <is>
          <t>VÄSTRA GÖTALANDS LÄN</t>
        </is>
      </c>
      <c r="G110" t="inlineStr">
        <is>
          <t>BOLLEBYGD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59613-2023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45254</v>
      </c>
      <c r="E111" s="1" t="n">
        <v>46314</v>
      </c>
      <c r="F111" t="inlineStr">
        <is>
          <t>VÄSTRA GÖTALANDS LÄN</t>
        </is>
      </c>
      <c r="G111" t="inlineStr">
        <is>
          <t>BOLLEBYGD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62986-2023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45272</v>
      </c>
      <c r="E112" s="1" t="n">
        <v>46314</v>
      </c>
      <c r="F112" t="inlineStr">
        <is>
          <t>VÄSTRA GÖTALANDS LÄN</t>
        </is>
      </c>
      <c r="G112" t="inlineStr">
        <is>
          <t>BOLLEBYGD</t>
        </is>
      </c>
      <c r="I112" t="n">
        <v>7.5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59816-2021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44494</v>
      </c>
      <c r="E113" s="1" t="n">
        <v>46314</v>
      </c>
      <c r="F113" t="inlineStr">
        <is>
          <t>VÄSTRA GÖTALANDS LÄN</t>
        </is>
      </c>
      <c r="G113" t="inlineStr">
        <is>
          <t>BOLLEBYGD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30650-2023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45112</v>
      </c>
      <c r="E114" s="1" t="n">
        <v>46314</v>
      </c>
      <c r="F114" t="inlineStr">
        <is>
          <t>VÄSTRA GÖTALANDS LÄN</t>
        </is>
      </c>
      <c r="G114" t="inlineStr">
        <is>
          <t>BOLLEBYGD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30637-2023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45112</v>
      </c>
      <c r="E115" s="1" t="n">
        <v>46314</v>
      </c>
      <c r="F115" t="inlineStr">
        <is>
          <t>VÄSTRA GÖTALANDS LÄN</t>
        </is>
      </c>
      <c r="G115" t="inlineStr">
        <is>
          <t>BOLLEBYGD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58137-2025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45982</v>
      </c>
      <c r="E116" s="1" t="n">
        <v>46314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58139-2025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45982</v>
      </c>
      <c r="E117" s="1" t="n">
        <v>46314</v>
      </c>
      <c r="F117" t="inlineStr">
        <is>
          <t>VÄSTRA GÖTALANDS LÄN</t>
        </is>
      </c>
      <c r="G117" t="inlineStr">
        <is>
          <t>BOLLEBYGD</t>
        </is>
      </c>
      <c r="I117" t="n">
        <v>2.7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65118-2023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45288</v>
      </c>
      <c r="E118" s="1" t="n">
        <v>46314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60089-2025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45993</v>
      </c>
      <c r="E119" s="1" t="n">
        <v>46314</v>
      </c>
      <c r="F119" t="inlineStr">
        <is>
          <t>VÄSTRA GÖTALANDS LÄN</t>
        </is>
      </c>
      <c r="G119" t="inlineStr">
        <is>
          <t>BOLLEBYGD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60093-2025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45993</v>
      </c>
      <c r="E120" s="1" t="n">
        <v>46314</v>
      </c>
      <c r="F120" t="inlineStr">
        <is>
          <t>VÄSTRA GÖTALANDS LÄN</t>
        </is>
      </c>
      <c r="G120" t="inlineStr">
        <is>
          <t>BOLLEBYGD</t>
        </is>
      </c>
      <c r="I120" t="n">
        <v>1.9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18613-2025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45763</v>
      </c>
      <c r="E121" s="1" t="n">
        <v>46314</v>
      </c>
      <c r="F121" t="inlineStr">
        <is>
          <t>VÄSTRA GÖTALANDS LÄN</t>
        </is>
      </c>
      <c r="G121" t="inlineStr">
        <is>
          <t>BOLLEBYGD</t>
        </is>
      </c>
      <c r="I121" t="n">
        <v>4.5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18614-2025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45763</v>
      </c>
      <c r="E122" s="1" t="n">
        <v>46314</v>
      </c>
      <c r="F122" t="inlineStr">
        <is>
          <t>VÄSTRA GÖTALANDS LÄN</t>
        </is>
      </c>
      <c r="G122" t="inlineStr">
        <is>
          <t>BOLLEBYGD</t>
        </is>
      </c>
      <c r="I122" t="n">
        <v>9.699999999999999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60091-2025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45993</v>
      </c>
      <c r="E123" s="1" t="n">
        <v>46314</v>
      </c>
      <c r="F123" t="inlineStr">
        <is>
          <t>VÄSTRA GÖTALANDS LÄN</t>
        </is>
      </c>
      <c r="G123" t="inlineStr">
        <is>
          <t>BOLLEBYGD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60092-2025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45993</v>
      </c>
      <c r="E124" s="1" t="n">
        <v>46314</v>
      </c>
      <c r="F124" t="inlineStr">
        <is>
          <t>VÄSTRA GÖTALANDS LÄN</t>
        </is>
      </c>
      <c r="G124" t="inlineStr">
        <is>
          <t>BOLLEBYGD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59871-2025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45992</v>
      </c>
      <c r="E125" s="1" t="n">
        <v>46314</v>
      </c>
      <c r="F125" t="inlineStr">
        <is>
          <t>VÄSTRA GÖTALANDS LÄN</t>
        </is>
      </c>
      <c r="G125" t="inlineStr">
        <is>
          <t>BOLLEBYGD</t>
        </is>
      </c>
      <c r="I125" t="n">
        <v>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59872-2025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45992</v>
      </c>
      <c r="E126" s="1" t="n">
        <v>46314</v>
      </c>
      <c r="F126" t="inlineStr">
        <is>
          <t>VÄSTRA GÖTALANDS LÄN</t>
        </is>
      </c>
      <c r="G126" t="inlineStr">
        <is>
          <t>BOLLEBYGD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54289-2022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44882</v>
      </c>
      <c r="E127" s="1" t="n">
        <v>46314</v>
      </c>
      <c r="F127" t="inlineStr">
        <is>
          <t>VÄSTRA GÖTALANDS LÄN</t>
        </is>
      </c>
      <c r="G127" t="inlineStr">
        <is>
          <t>BOLLEBYGD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60181-2025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45994</v>
      </c>
      <c r="E128" s="1" t="n">
        <v>46314</v>
      </c>
      <c r="F128" t="inlineStr">
        <is>
          <t>VÄSTRA GÖTALANDS LÄN</t>
        </is>
      </c>
      <c r="G128" t="inlineStr">
        <is>
          <t>BOLLEBYGD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60946-2025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45999</v>
      </c>
      <c r="E129" s="1" t="n">
        <v>46314</v>
      </c>
      <c r="F129" t="inlineStr">
        <is>
          <t>VÄSTRA GÖTALANDS LÄN</t>
        </is>
      </c>
      <c r="G129" t="inlineStr">
        <is>
          <t>BOLLEBYGD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42250-2023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45180</v>
      </c>
      <c r="E130" s="1" t="n">
        <v>46314</v>
      </c>
      <c r="F130" t="inlineStr">
        <is>
          <t>VÄSTRA GÖTALANDS LÄN</t>
        </is>
      </c>
      <c r="G130" t="inlineStr">
        <is>
          <t>BOLLEBYGD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42256-2023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45180</v>
      </c>
      <c r="E131" s="1" t="n">
        <v>46314</v>
      </c>
      <c r="F131" t="inlineStr">
        <is>
          <t>VÄSTRA GÖTALANDS LÄN</t>
        </is>
      </c>
      <c r="G131" t="inlineStr">
        <is>
          <t>BOLLEBYGD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1921-2024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45308</v>
      </c>
      <c r="E132" s="1" t="n">
        <v>46314</v>
      </c>
      <c r="F132" t="inlineStr">
        <is>
          <t>VÄSTRA GÖTALANDS LÄN</t>
        </is>
      </c>
      <c r="G132" t="inlineStr">
        <is>
          <t>BOLLEBYGD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24965-2026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46174</v>
      </c>
      <c r="E133" s="1" t="n">
        <v>46314</v>
      </c>
      <c r="F133" t="inlineStr">
        <is>
          <t>VÄSTRA GÖTALANDS LÄN</t>
        </is>
      </c>
      <c r="G133" t="inlineStr">
        <is>
          <t>BOLLEBYGD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31711-2023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45117</v>
      </c>
      <c r="E134" s="1" t="n">
        <v>46314</v>
      </c>
      <c r="F134" t="inlineStr">
        <is>
          <t>VÄSTRA GÖTALANDS LÄN</t>
        </is>
      </c>
      <c r="G134" t="inlineStr">
        <is>
          <t>BOLLEBYGD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31727-2023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45117</v>
      </c>
      <c r="E135" s="1" t="n">
        <v>46314</v>
      </c>
      <c r="F135" t="inlineStr">
        <is>
          <t>VÄSTRA GÖTALANDS LÄN</t>
        </is>
      </c>
      <c r="G135" t="inlineStr">
        <is>
          <t>BOLLEBYGD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11605-2024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45373</v>
      </c>
      <c r="E136" s="1" t="n">
        <v>46314</v>
      </c>
      <c r="F136" t="inlineStr">
        <is>
          <t>VÄSTRA GÖTALANDS LÄN</t>
        </is>
      </c>
      <c r="G136" t="inlineStr">
        <is>
          <t>BOLLEBYGD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10610-2025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45721</v>
      </c>
      <c r="E137" s="1" t="n">
        <v>46314</v>
      </c>
      <c r="F137" t="inlineStr">
        <is>
          <t>VÄSTRA GÖTALANDS LÄN</t>
        </is>
      </c>
      <c r="G137" t="inlineStr">
        <is>
          <t>BOLLEBYGD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64005-2025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46021</v>
      </c>
      <c r="E138" s="1" t="n">
        <v>46314</v>
      </c>
      <c r="F138" t="inlineStr">
        <is>
          <t>VÄSTRA GÖTALANDS LÄN</t>
        </is>
      </c>
      <c r="G138" t="inlineStr">
        <is>
          <t>BOLLEBYGD</t>
        </is>
      </c>
      <c r="I138" t="n">
        <v>5.8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53055-2024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45611</v>
      </c>
      <c r="E139" s="1" t="n">
        <v>46314</v>
      </c>
      <c r="F139" t="inlineStr">
        <is>
          <t>VÄSTRA GÖTALANDS LÄN</t>
        </is>
      </c>
      <c r="G139" t="inlineStr">
        <is>
          <t>BOLLEBYGD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2497-2026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46037</v>
      </c>
      <c r="E140" s="1" t="n">
        <v>46314</v>
      </c>
      <c r="F140" t="inlineStr">
        <is>
          <t>VÄSTRA GÖTALANDS LÄN</t>
        </is>
      </c>
      <c r="G140" t="inlineStr">
        <is>
          <t>BOLLEBYGD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4119-2026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46044</v>
      </c>
      <c r="E141" s="1" t="n">
        <v>46314</v>
      </c>
      <c r="F141" t="inlineStr">
        <is>
          <t>VÄSTRA GÖTALANDS LÄN</t>
        </is>
      </c>
      <c r="G141" t="inlineStr">
        <is>
          <t>BOLLEBYGD</t>
        </is>
      </c>
      <c r="H141" t="inlineStr">
        <is>
          <t>Kyrkan</t>
        </is>
      </c>
      <c r="I141" t="n">
        <v>3.5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4587-2026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46048</v>
      </c>
      <c r="E142" s="1" t="n">
        <v>46314</v>
      </c>
      <c r="F142" t="inlineStr">
        <is>
          <t>VÄSTRA GÖTALANDS LÄN</t>
        </is>
      </c>
      <c r="G142" t="inlineStr">
        <is>
          <t>BOLLEBYGD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4588-2026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46048</v>
      </c>
      <c r="E143" s="1" t="n">
        <v>46314</v>
      </c>
      <c r="F143" t="inlineStr">
        <is>
          <t>VÄSTRA GÖTALANDS LÄN</t>
        </is>
      </c>
      <c r="G143" t="inlineStr">
        <is>
          <t>BOLLEBYGD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29658-2022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44754</v>
      </c>
      <c r="E144" s="1" t="n">
        <v>46314</v>
      </c>
      <c r="F144" t="inlineStr">
        <is>
          <t>VÄSTRA GÖTALANDS LÄN</t>
        </is>
      </c>
      <c r="G144" t="inlineStr">
        <is>
          <t>BOLLEBYGD</t>
        </is>
      </c>
      <c r="I144" t="n">
        <v>2.3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6071-2026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46052</v>
      </c>
      <c r="E145" s="1" t="n">
        <v>46314</v>
      </c>
      <c r="F145" t="inlineStr">
        <is>
          <t>VÄSTRA GÖTALANDS LÄN</t>
        </is>
      </c>
      <c r="G145" t="inlineStr">
        <is>
          <t>BOLLEBYGD</t>
        </is>
      </c>
      <c r="I145" t="n">
        <v>4.3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46052</v>
      </c>
      <c r="E146" s="1" t="n">
        <v>46314</v>
      </c>
      <c r="F146" t="inlineStr">
        <is>
          <t>VÄSTRA GÖTALANDS LÄN</t>
        </is>
      </c>
      <c r="G146" t="inlineStr">
        <is>
          <t>BOLLEBYGD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6104-2026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46052</v>
      </c>
      <c r="E147" s="1" t="n">
        <v>46314</v>
      </c>
      <c r="F147" t="inlineStr">
        <is>
          <t>VÄSTRA GÖTALANDS LÄN</t>
        </is>
      </c>
      <c r="G147" t="inlineStr">
        <is>
          <t>BOLLEBYGD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6103-2026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46052</v>
      </c>
      <c r="E148" s="1" t="n">
        <v>46314</v>
      </c>
      <c r="F148" t="inlineStr">
        <is>
          <t>VÄSTRA GÖTALANDS LÄN</t>
        </is>
      </c>
      <c r="G148" t="inlineStr">
        <is>
          <t>BOLLEBYGD</t>
        </is>
      </c>
      <c r="I148" t="n">
        <v>4.3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57036-2024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45629</v>
      </c>
      <c r="E149" s="1" t="n">
        <v>46314</v>
      </c>
      <c r="F149" t="inlineStr">
        <is>
          <t>VÄSTRA GÖTALANDS LÄN</t>
        </is>
      </c>
      <c r="G149" t="inlineStr">
        <is>
          <t>BOLLEBYGD</t>
        </is>
      </c>
      <c r="I149" t="n">
        <v>5.2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26642-2026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46184</v>
      </c>
      <c r="E150" s="1" t="n">
        <v>46314</v>
      </c>
      <c r="F150" t="inlineStr">
        <is>
          <t>VÄSTRA GÖTALANDS LÄN</t>
        </is>
      </c>
      <c r="G150" t="inlineStr">
        <is>
          <t>BOLLEBYGD</t>
        </is>
      </c>
      <c r="I150" t="n">
        <v>1.5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7546-2026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46059</v>
      </c>
      <c r="E151" s="1" t="n">
        <v>46314</v>
      </c>
      <c r="F151" t="inlineStr">
        <is>
          <t>VÄSTRA GÖTALANDS LÄN</t>
        </is>
      </c>
      <c r="G151" t="inlineStr">
        <is>
          <t>BOLLEBYGD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27248-2026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46188</v>
      </c>
      <c r="E152" s="1" t="n">
        <v>46314</v>
      </c>
      <c r="F152" t="inlineStr">
        <is>
          <t>VÄSTRA GÖTALANDS LÄN</t>
        </is>
      </c>
      <c r="G152" t="inlineStr">
        <is>
          <t>BOLLEBYGD</t>
        </is>
      </c>
      <c r="I152" t="n">
        <v>5.3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11584-2026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46314</v>
      </c>
      <c r="F153" t="inlineStr">
        <is>
          <t>VÄSTRA GÖTALANDS LÄN</t>
        </is>
      </c>
      <c r="G153" t="inlineStr">
        <is>
          <t>BOLLEBYGD</t>
        </is>
      </c>
      <c r="I153" t="n">
        <v>0.8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54287-2022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44882</v>
      </c>
      <c r="E154" s="1" t="n">
        <v>46314</v>
      </c>
      <c r="F154" t="inlineStr">
        <is>
          <t>VÄSTRA GÖTALANDS LÄN</t>
        </is>
      </c>
      <c r="G154" t="inlineStr">
        <is>
          <t>BOLLEBYGD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15112-2022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44658</v>
      </c>
      <c r="E155" s="1" t="n">
        <v>46314</v>
      </c>
      <c r="F155" t="inlineStr">
        <is>
          <t>VÄSTRA GÖTALANDS LÄN</t>
        </is>
      </c>
      <c r="G155" t="inlineStr">
        <is>
          <t>BOLLEBYGD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12503-2026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46090</v>
      </c>
      <c r="E156" s="1" t="n">
        <v>46314</v>
      </c>
      <c r="F156" t="inlineStr">
        <is>
          <t>VÄSTRA GÖTALANDS LÄN</t>
        </is>
      </c>
      <c r="G156" t="inlineStr">
        <is>
          <t>BOLLEBYGD</t>
        </is>
      </c>
      <c r="I156" t="n">
        <v>5.2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12469-2026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46090</v>
      </c>
      <c r="E157" s="1" t="n">
        <v>46314</v>
      </c>
      <c r="F157" t="inlineStr">
        <is>
          <t>VÄSTRA GÖTALANDS LÄN</t>
        </is>
      </c>
      <c r="G157" t="inlineStr">
        <is>
          <t>BOLLEBYGD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12879-2026</t>
        </is>
      </c>
      <c r="B158" t="inlineStr">
        <is>
          <t>avverkningsanmälan</t>
        </is>
      </c>
      <c r="C158" t="inlineStr">
        <is>
          <t>Avverkning för annat ändamål</t>
        </is>
      </c>
      <c r="D158" s="1" t="n">
        <v>46092</v>
      </c>
      <c r="E158" s="1" t="n">
        <v>46314</v>
      </c>
      <c r="F158" t="inlineStr">
        <is>
          <t>VÄSTRA GÖTALANDS LÄN</t>
        </is>
      </c>
      <c r="G158" t="inlineStr">
        <is>
          <t>BOLLEBYGD</t>
        </is>
      </c>
      <c r="H158" t="inlineStr">
        <is>
          <t>Sveaskog</t>
        </is>
      </c>
      <c r="I158" t="n">
        <v>0.8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27782-2026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46191</v>
      </c>
      <c r="E159" s="1" t="n">
        <v>46314</v>
      </c>
      <c r="F159" t="inlineStr">
        <is>
          <t>VÄSTRA GÖTALANDS LÄN</t>
        </is>
      </c>
      <c r="G159" t="inlineStr">
        <is>
          <t>BOLLEBYGD</t>
        </is>
      </c>
      <c r="I159" t="n">
        <v>6.1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13120-2026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46093</v>
      </c>
      <c r="E160" s="1" t="n">
        <v>46314</v>
      </c>
      <c r="F160" t="inlineStr">
        <is>
          <t>VÄSTRA GÖTALANDS LÄN</t>
        </is>
      </c>
      <c r="G160" t="inlineStr">
        <is>
          <t>BOLLEBYGD</t>
        </is>
      </c>
      <c r="I160" t="n">
        <v>2.1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13121-2026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46093</v>
      </c>
      <c r="E161" s="1" t="n">
        <v>46314</v>
      </c>
      <c r="F161" t="inlineStr">
        <is>
          <t>VÄSTRA GÖTALANDS LÄN</t>
        </is>
      </c>
      <c r="G161" t="inlineStr">
        <is>
          <t>BOLLEBYGD</t>
        </is>
      </c>
      <c r="I161" t="n">
        <v>0.2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58011-2022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44900</v>
      </c>
      <c r="E162" s="1" t="n">
        <v>46314</v>
      </c>
      <c r="F162" t="inlineStr">
        <is>
          <t>VÄSTRA GÖTALANDS LÄN</t>
        </is>
      </c>
      <c r="G162" t="inlineStr">
        <is>
          <t>BOLLEBYGD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56452-2022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44893</v>
      </c>
      <c r="E163" s="1" t="n">
        <v>46314</v>
      </c>
      <c r="F163" t="inlineStr">
        <is>
          <t>VÄSTRA GÖTALANDS LÄN</t>
        </is>
      </c>
      <c r="G163" t="inlineStr">
        <is>
          <t>BOLLEBYGD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14111-2026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46099</v>
      </c>
      <c r="E164" s="1" t="n">
        <v>46314</v>
      </c>
      <c r="F164" t="inlineStr">
        <is>
          <t>VÄSTRA GÖTALANDS LÄN</t>
        </is>
      </c>
      <c r="G164" t="inlineStr">
        <is>
          <t>BOLLEBYGD</t>
        </is>
      </c>
      <c r="I164" t="n">
        <v>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58010-2022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44900</v>
      </c>
      <c r="E165" s="1" t="n">
        <v>46314</v>
      </c>
      <c r="F165" t="inlineStr">
        <is>
          <t>VÄSTRA GÖTALANDS LÄN</t>
        </is>
      </c>
      <c r="G165" t="inlineStr">
        <is>
          <t>BOLLEBYGD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1922-2024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45308</v>
      </c>
      <c r="E166" s="1" t="n">
        <v>46314</v>
      </c>
      <c r="F166" t="inlineStr">
        <is>
          <t>VÄSTRA GÖTALANDS LÄN</t>
        </is>
      </c>
      <c r="G166" t="inlineStr">
        <is>
          <t>BOLLEBYGD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14545-2026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46100</v>
      </c>
      <c r="E167" s="1" t="n">
        <v>46314</v>
      </c>
      <c r="F167" t="inlineStr">
        <is>
          <t>VÄSTRA GÖTALANDS LÄN</t>
        </is>
      </c>
      <c r="G167" t="inlineStr">
        <is>
          <t>BOLLEBYGD</t>
        </is>
      </c>
      <c r="I167" t="n">
        <v>4.2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61334-2022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44915</v>
      </c>
      <c r="E168" s="1" t="n">
        <v>46314</v>
      </c>
      <c r="F168" t="inlineStr">
        <is>
          <t>VÄSTRA GÖTALANDS LÄN</t>
        </is>
      </c>
      <c r="G168" t="inlineStr">
        <is>
          <t>BOLLEBYGD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51564-2024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45604</v>
      </c>
      <c r="E169" s="1" t="n">
        <v>46314</v>
      </c>
      <c r="F169" t="inlineStr">
        <is>
          <t>VÄSTRA GÖTALANDS LÄN</t>
        </is>
      </c>
      <c r="G169" t="inlineStr">
        <is>
          <t>BOLLEBYGD</t>
        </is>
      </c>
      <c r="I169" t="n">
        <v>4.1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7046-2025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45701</v>
      </c>
      <c r="E170" s="1" t="n">
        <v>46314</v>
      </c>
      <c r="F170" t="inlineStr">
        <is>
          <t>VÄSTRA GÖTALANDS LÄN</t>
        </is>
      </c>
      <c r="G170" t="inlineStr">
        <is>
          <t>BOLLEBYGD</t>
        </is>
      </c>
      <c r="I170" t="n">
        <v>0.9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30760-2023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45112</v>
      </c>
      <c r="E171" s="1" t="n">
        <v>46314</v>
      </c>
      <c r="F171" t="inlineStr">
        <is>
          <t>VÄSTRA GÖTALANDS LÄN</t>
        </is>
      </c>
      <c r="G171" t="inlineStr">
        <is>
          <t>BOLLEBYGD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30762-2023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45112</v>
      </c>
      <c r="E172" s="1" t="n">
        <v>46314</v>
      </c>
      <c r="F172" t="inlineStr">
        <is>
          <t>VÄSTRA GÖTALANDS LÄN</t>
        </is>
      </c>
      <c r="G172" t="inlineStr">
        <is>
          <t>BOLLEBYGD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56331-2024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45624</v>
      </c>
      <c r="E173" s="1" t="n">
        <v>46314</v>
      </c>
      <c r="F173" t="inlineStr">
        <is>
          <t>VÄSTRA GÖTALANDS LÄN</t>
        </is>
      </c>
      <c r="G173" t="inlineStr">
        <is>
          <t>BOLLEBYGD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51314-2023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45219</v>
      </c>
      <c r="E174" s="1" t="n">
        <v>46314</v>
      </c>
      <c r="F174" t="inlineStr">
        <is>
          <t>VÄSTRA GÖTALANDS LÄN</t>
        </is>
      </c>
      <c r="G174" t="inlineStr">
        <is>
          <t>BOLLEBYGD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3238-2023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44946</v>
      </c>
      <c r="E175" s="1" t="n">
        <v>46314</v>
      </c>
      <c r="F175" t="inlineStr">
        <is>
          <t>VÄSTRA GÖTALANDS LÄN</t>
        </is>
      </c>
      <c r="G175" t="inlineStr">
        <is>
          <t>BOLLEBYGD</t>
        </is>
      </c>
      <c r="I175" t="n">
        <v>0.5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19644-2026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46134</v>
      </c>
      <c r="E176" s="1" t="n">
        <v>46314</v>
      </c>
      <c r="F176" t="inlineStr">
        <is>
          <t>VÄSTRA GÖTALANDS LÄN</t>
        </is>
      </c>
      <c r="G176" t="inlineStr">
        <is>
          <t>BOLLEBYGD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30098-2026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46206</v>
      </c>
      <c r="E177" s="1" t="n">
        <v>46314</v>
      </c>
      <c r="F177" t="inlineStr">
        <is>
          <t>VÄSTRA GÖTALANDS LÄN</t>
        </is>
      </c>
      <c r="G177" t="inlineStr">
        <is>
          <t>BOLLEBYGD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12160-2024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45377</v>
      </c>
      <c r="E178" s="1" t="n">
        <v>46314</v>
      </c>
      <c r="F178" t="inlineStr">
        <is>
          <t>VÄSTRA GÖTALANDS LÄN</t>
        </is>
      </c>
      <c r="G178" t="inlineStr">
        <is>
          <t>BOLLEBYGD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54659-2022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44883</v>
      </c>
      <c r="E179" s="1" t="n">
        <v>46314</v>
      </c>
      <c r="F179" t="inlineStr">
        <is>
          <t>VÄSTRA GÖTALANDS LÄN</t>
        </is>
      </c>
      <c r="G179" t="inlineStr">
        <is>
          <t>BOLLEBYGD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31718-2023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45117</v>
      </c>
      <c r="E180" s="1" t="n">
        <v>46314</v>
      </c>
      <c r="F180" t="inlineStr">
        <is>
          <t>VÄSTRA GÖTALANDS LÄN</t>
        </is>
      </c>
      <c r="G180" t="inlineStr">
        <is>
          <t>BOLLEBYGD</t>
        </is>
      </c>
      <c r="I180" t="n">
        <v>3.6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43398-2024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45568</v>
      </c>
      <c r="E181" s="1" t="n">
        <v>46314</v>
      </c>
      <c r="F181" t="inlineStr">
        <is>
          <t>VÄSTRA GÖTALANDS LÄN</t>
        </is>
      </c>
      <c r="G181" t="inlineStr">
        <is>
          <t>BOLLEBYGD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54311-2022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44882</v>
      </c>
      <c r="E182" s="1" t="n">
        <v>46314</v>
      </c>
      <c r="F182" t="inlineStr">
        <is>
          <t>VÄSTRA GÖTALANDS LÄN</t>
        </is>
      </c>
      <c r="G182" t="inlineStr">
        <is>
          <t>BOLLEBYGD</t>
        </is>
      </c>
      <c r="I182" t="n">
        <v>1.4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22443-2023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45070</v>
      </c>
      <c r="E183" s="1" t="n">
        <v>46314</v>
      </c>
      <c r="F183" t="inlineStr">
        <is>
          <t>VÄSTRA GÖTALANDS LÄN</t>
        </is>
      </c>
      <c r="G183" t="inlineStr">
        <is>
          <t>BOLLEBYGD</t>
        </is>
      </c>
      <c r="I183" t="n">
        <v>4.3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36861-2026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46272</v>
      </c>
      <c r="E184" s="1" t="n">
        <v>46314</v>
      </c>
      <c r="F184" t="inlineStr">
        <is>
          <t>VÄSTRA GÖTALANDS LÄN</t>
        </is>
      </c>
      <c r="G184" t="inlineStr">
        <is>
          <t>BOLLEBYGD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60792-2022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44914</v>
      </c>
      <c r="E185" s="1" t="n">
        <v>46314</v>
      </c>
      <c r="F185" t="inlineStr">
        <is>
          <t>VÄSTRA GÖTALANDS LÄN</t>
        </is>
      </c>
      <c r="G185" t="inlineStr">
        <is>
          <t>BOLLEBYGD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61026-2022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44914</v>
      </c>
      <c r="E186" s="1" t="n">
        <v>46314</v>
      </c>
      <c r="F186" t="inlineStr">
        <is>
          <t>VÄSTRA GÖTALANDS LÄN</t>
        </is>
      </c>
      <c r="G186" t="inlineStr">
        <is>
          <t>BOLLEBYGD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47264-2024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45586</v>
      </c>
      <c r="E187" s="1" t="n">
        <v>46314</v>
      </c>
      <c r="F187" t="inlineStr">
        <is>
          <t>VÄSTRA GÖTALANDS LÄN</t>
        </is>
      </c>
      <c r="G187" t="inlineStr">
        <is>
          <t>BOLLEBYGD</t>
        </is>
      </c>
      <c r="I187" t="n">
        <v>1.3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31907-2026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46231</v>
      </c>
      <c r="E188" s="1" t="n">
        <v>46314</v>
      </c>
      <c r="F188" t="inlineStr">
        <is>
          <t>VÄSTRA GÖTALANDS LÄN</t>
        </is>
      </c>
      <c r="G188" t="inlineStr">
        <is>
          <t>BOLLEBYGD</t>
        </is>
      </c>
      <c r="H188" t="inlineStr">
        <is>
          <t>Kyrkan</t>
        </is>
      </c>
      <c r="I188" t="n">
        <v>6.8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22541-2023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45071</v>
      </c>
      <c r="E189" s="1" t="n">
        <v>46314</v>
      </c>
      <c r="F189" t="inlineStr">
        <is>
          <t>VÄSTRA GÖTALANDS LÄN</t>
        </is>
      </c>
      <c r="G189" t="inlineStr">
        <is>
          <t>BOLLEBYGD</t>
        </is>
      </c>
      <c r="I189" t="n">
        <v>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21751-2022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44708</v>
      </c>
      <c r="E190" s="1" t="n">
        <v>46314</v>
      </c>
      <c r="F190" t="inlineStr">
        <is>
          <t>VÄSTRA GÖTALANDS LÄN</t>
        </is>
      </c>
      <c r="G190" t="inlineStr">
        <is>
          <t>BOLLEBYGD</t>
        </is>
      </c>
      <c r="I190" t="n">
        <v>4.2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1395-2024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45303</v>
      </c>
      <c r="E191" s="1" t="n">
        <v>46314</v>
      </c>
      <c r="F191" t="inlineStr">
        <is>
          <t>VÄSTRA GÖTALANDS LÄN</t>
        </is>
      </c>
      <c r="G191" t="inlineStr">
        <is>
          <t>BOLLEBYGD</t>
        </is>
      </c>
      <c r="I191" t="n">
        <v>5.3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2398-2024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45310</v>
      </c>
      <c r="E192" s="1" t="n">
        <v>46314</v>
      </c>
      <c r="F192" t="inlineStr">
        <is>
          <t>VÄSTRA GÖTALANDS LÄN</t>
        </is>
      </c>
      <c r="G192" t="inlineStr">
        <is>
          <t>BOLLEBYGD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30793-2023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45112</v>
      </c>
      <c r="E193" s="1" t="n">
        <v>46314</v>
      </c>
      <c r="F193" t="inlineStr">
        <is>
          <t>VÄSTRA GÖTALANDS LÄN</t>
        </is>
      </c>
      <c r="G193" t="inlineStr">
        <is>
          <t>BOLLEBYGD</t>
        </is>
      </c>
      <c r="I193" t="n">
        <v>1.4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30795-2023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45112</v>
      </c>
      <c r="E194" s="1" t="n">
        <v>46314</v>
      </c>
      <c r="F194" t="inlineStr">
        <is>
          <t>VÄSTRA GÖTALANDS LÄN</t>
        </is>
      </c>
      <c r="G194" t="inlineStr">
        <is>
          <t>BOLLEBYGD</t>
        </is>
      </c>
      <c r="I194" t="n">
        <v>1.3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30800-2023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45112</v>
      </c>
      <c r="E195" s="1" t="n">
        <v>46314</v>
      </c>
      <c r="F195" t="inlineStr">
        <is>
          <t>VÄSTRA GÖTALANDS LÄN</t>
        </is>
      </c>
      <c r="G195" t="inlineStr">
        <is>
          <t>BOLLEBYGD</t>
        </is>
      </c>
      <c r="I195" t="n">
        <v>0.9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28040-2024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45476</v>
      </c>
      <c r="E196" s="1" t="n">
        <v>46314</v>
      </c>
      <c r="F196" t="inlineStr">
        <is>
          <t>VÄSTRA GÖTALANDS LÄN</t>
        </is>
      </c>
      <c r="G196" t="inlineStr">
        <is>
          <t>BOLLEBYGD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38521-2026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46283</v>
      </c>
      <c r="E197" s="1" t="n">
        <v>46314</v>
      </c>
      <c r="F197" t="inlineStr">
        <is>
          <t>VÄSTRA GÖTALANDS LÄN</t>
        </is>
      </c>
      <c r="G197" t="inlineStr">
        <is>
          <t>BOLLEBYGD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38601-2026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46283</v>
      </c>
      <c r="E198" s="1" t="n">
        <v>46314</v>
      </c>
      <c r="F198" t="inlineStr">
        <is>
          <t>VÄSTRA GÖTALANDS LÄN</t>
        </is>
      </c>
      <c r="G198" t="inlineStr">
        <is>
          <t>BOLLEBYGD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47258-2025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45930</v>
      </c>
      <c r="E199" s="1" t="n">
        <v>46314</v>
      </c>
      <c r="F199" t="inlineStr">
        <is>
          <t>VÄSTRA GÖTALANDS LÄN</t>
        </is>
      </c>
      <c r="G199" t="inlineStr">
        <is>
          <t>BOLLEBYGD</t>
        </is>
      </c>
      <c r="I199" t="n">
        <v>3.8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18337-2023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45041</v>
      </c>
      <c r="E200" s="1" t="n">
        <v>46314</v>
      </c>
      <c r="F200" t="inlineStr">
        <is>
          <t>VÄSTRA GÖTALANDS LÄN</t>
        </is>
      </c>
      <c r="G200" t="inlineStr">
        <is>
          <t>BOLLEBYGD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11021-2022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44628</v>
      </c>
      <c r="E201" s="1" t="n">
        <v>46314</v>
      </c>
      <c r="F201" t="inlineStr">
        <is>
          <t>VÄSTRA GÖTALANDS LÄN</t>
        </is>
      </c>
      <c r="G201" t="inlineStr">
        <is>
          <t>BOLLEBYGD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11239-2023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44992</v>
      </c>
      <c r="E202" s="1" t="n">
        <v>46314</v>
      </c>
      <c r="F202" t="inlineStr">
        <is>
          <t>VÄSTRA GÖTALANDS LÄN</t>
        </is>
      </c>
      <c r="G202" t="inlineStr">
        <is>
          <t>BOLLEBYGD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39344-2026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46288</v>
      </c>
      <c r="E203" s="1" t="n">
        <v>46314</v>
      </c>
      <c r="F203" t="inlineStr">
        <is>
          <t>VÄSTRA GÖTALANDS LÄN</t>
        </is>
      </c>
      <c r="G203" t="inlineStr">
        <is>
          <t>BOLLEBYGD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31717-2023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45117</v>
      </c>
      <c r="E204" s="1" t="n">
        <v>46314</v>
      </c>
      <c r="F204" t="inlineStr">
        <is>
          <t>VÄSTRA GÖTALANDS LÄN</t>
        </is>
      </c>
      <c r="G204" t="inlineStr">
        <is>
          <t>BOLLEBYGD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31719-2023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45117</v>
      </c>
      <c r="E205" s="1" t="n">
        <v>46314</v>
      </c>
      <c r="F205" t="inlineStr">
        <is>
          <t>VÄSTRA GÖTALANDS LÄN</t>
        </is>
      </c>
      <c r="G205" t="inlineStr">
        <is>
          <t>BOLLEBYGD</t>
        </is>
      </c>
      <c r="I205" t="n">
        <v>1.2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31745-2023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45117</v>
      </c>
      <c r="E206" s="1" t="n">
        <v>46314</v>
      </c>
      <c r="F206" t="inlineStr">
        <is>
          <t>VÄSTRA GÖTALANDS LÄN</t>
        </is>
      </c>
      <c r="G206" t="inlineStr">
        <is>
          <t>BOLLEBYGD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56335-2024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45624</v>
      </c>
      <c r="E207" s="1" t="n">
        <v>46314</v>
      </c>
      <c r="F207" t="inlineStr">
        <is>
          <t>VÄSTRA GÖTALANDS LÄN</t>
        </is>
      </c>
      <c r="G207" t="inlineStr">
        <is>
          <t>BOLLEBYGD</t>
        </is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30801-2023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45112</v>
      </c>
      <c r="E208" s="1" t="n">
        <v>46314</v>
      </c>
      <c r="F208" t="inlineStr">
        <is>
          <t>VÄSTRA GÖTALANDS LÄN</t>
        </is>
      </c>
      <c r="G208" t="inlineStr">
        <is>
          <t>BOLLEBYGD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39852-2026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46290</v>
      </c>
      <c r="E209" s="1" t="n">
        <v>46314</v>
      </c>
      <c r="F209" t="inlineStr">
        <is>
          <t>VÄSTRA GÖTALANDS LÄN</t>
        </is>
      </c>
      <c r="G209" t="inlineStr">
        <is>
          <t>BOLLEBYGD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70708-2021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44537</v>
      </c>
      <c r="E210" s="1" t="n">
        <v>46314</v>
      </c>
      <c r="F210" t="inlineStr">
        <is>
          <t>VÄSTRA GÖTALANDS LÄN</t>
        </is>
      </c>
      <c r="G210" t="inlineStr">
        <is>
          <t>BOLLEBYGD</t>
        </is>
      </c>
      <c r="I210" t="n">
        <v>4.6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39841-2026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46290</v>
      </c>
      <c r="E211" s="1" t="n">
        <v>46314</v>
      </c>
      <c r="F211" t="inlineStr">
        <is>
          <t>VÄSTRA GÖTALANDS LÄN</t>
        </is>
      </c>
      <c r="G211" t="inlineStr">
        <is>
          <t>BOLLEBYGD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31712-2023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45117</v>
      </c>
      <c r="E212" s="1" t="n">
        <v>46314</v>
      </c>
      <c r="F212" t="inlineStr">
        <is>
          <t>VÄSTRA GÖTALANDS LÄN</t>
        </is>
      </c>
      <c r="G212" t="inlineStr">
        <is>
          <t>BOLLEBYGD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31715-2023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45117</v>
      </c>
      <c r="E213" s="1" t="n">
        <v>46314</v>
      </c>
      <c r="F213" t="inlineStr">
        <is>
          <t>VÄSTRA GÖTALANDS LÄN</t>
        </is>
      </c>
      <c r="G213" t="inlineStr">
        <is>
          <t>BOLLEBYGD</t>
        </is>
      </c>
      <c r="I213" t="n">
        <v>12.4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39896-2026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46290</v>
      </c>
      <c r="E214" s="1" t="n">
        <v>46314</v>
      </c>
      <c r="F214" t="inlineStr">
        <is>
          <t>VÄSTRA GÖTALANDS LÄN</t>
        </is>
      </c>
      <c r="G214" t="inlineStr">
        <is>
          <t>BOLLEBYGD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59517-2023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45254</v>
      </c>
      <c r="E215" s="1" t="n">
        <v>46314</v>
      </c>
      <c r="F215" t="inlineStr">
        <is>
          <t>VÄSTRA GÖTALANDS LÄN</t>
        </is>
      </c>
      <c r="G215" t="inlineStr">
        <is>
          <t>BOLLEBYGD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30724-2023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45112</v>
      </c>
      <c r="E216" s="1" t="n">
        <v>46314</v>
      </c>
      <c r="F216" t="inlineStr">
        <is>
          <t>VÄSTRA GÖTALANDS LÄN</t>
        </is>
      </c>
      <c r="G216" t="inlineStr">
        <is>
          <t>BOLLEBYGD</t>
        </is>
      </c>
      <c r="I216" t="n">
        <v>1.7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33852-2026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46251</v>
      </c>
      <c r="E217" s="1" t="n">
        <v>46314</v>
      </c>
      <c r="F217" t="inlineStr">
        <is>
          <t>VÄSTRA GÖTALANDS LÄN</t>
        </is>
      </c>
      <c r="G217" t="inlineStr">
        <is>
          <t>BOLLEBYGD</t>
        </is>
      </c>
      <c r="I217" t="n">
        <v>1.5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33853-2026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46251</v>
      </c>
      <c r="E218" s="1" t="n">
        <v>46314</v>
      </c>
      <c r="F218" t="inlineStr">
        <is>
          <t>VÄSTRA GÖTALANDS LÄN</t>
        </is>
      </c>
      <c r="G218" t="inlineStr">
        <is>
          <t>BOLLEBYGD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57443-2024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45629</v>
      </c>
      <c r="E219" s="1" t="n">
        <v>46314</v>
      </c>
      <c r="F219" t="inlineStr">
        <is>
          <t>VÄSTRA GÖTALANDS LÄN</t>
        </is>
      </c>
      <c r="G219" t="inlineStr">
        <is>
          <t>BOLLEBYGD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17434-2026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46120</v>
      </c>
      <c r="E220" s="1" t="n">
        <v>46314</v>
      </c>
      <c r="F220" t="inlineStr">
        <is>
          <t>VÄSTRA GÖTALANDS LÄN</t>
        </is>
      </c>
      <c r="G220" t="inlineStr">
        <is>
          <t>BOLLEBYGD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23330-2024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45453</v>
      </c>
      <c r="E221" s="1" t="n">
        <v>46314</v>
      </c>
      <c r="F221" t="inlineStr">
        <is>
          <t>VÄSTRA GÖTALANDS LÄN</t>
        </is>
      </c>
      <c r="G221" t="inlineStr">
        <is>
          <t>BOLLEBYGD</t>
        </is>
      </c>
      <c r="H221" t="inlineStr">
        <is>
          <t>Sveaskog</t>
        </is>
      </c>
      <c r="I221" t="n">
        <v>0.6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23907-2024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45455</v>
      </c>
      <c r="E222" s="1" t="n">
        <v>46314</v>
      </c>
      <c r="F222" t="inlineStr">
        <is>
          <t>VÄSTRA GÖTALANDS LÄN</t>
        </is>
      </c>
      <c r="G222" t="inlineStr">
        <is>
          <t>BOLLEBYGD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21878-2025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45784</v>
      </c>
      <c r="E223" s="1" t="n">
        <v>46314</v>
      </c>
      <c r="F223" t="inlineStr">
        <is>
          <t>VÄSTRA GÖTALANDS LÄN</t>
        </is>
      </c>
      <c r="G223" t="inlineStr">
        <is>
          <t>BOLLEBYGD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43938-2024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45572</v>
      </c>
      <c r="E224" s="1" t="n">
        <v>46314</v>
      </c>
      <c r="F224" t="inlineStr">
        <is>
          <t>VÄSTRA GÖTALANDS LÄN</t>
        </is>
      </c>
      <c r="G224" t="inlineStr">
        <is>
          <t>BOLLEBYGD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35072-2026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46259</v>
      </c>
      <c r="E225" s="1" t="n">
        <v>46314</v>
      </c>
      <c r="F225" t="inlineStr">
        <is>
          <t>VÄSTRA GÖTALANDS LÄN</t>
        </is>
      </c>
      <c r="G225" t="inlineStr">
        <is>
          <t>BOLLEBYGD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12124-2024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45377</v>
      </c>
      <c r="E226" s="1" t="n">
        <v>46314</v>
      </c>
      <c r="F226" t="inlineStr">
        <is>
          <t>VÄSTRA GÖTALANDS LÄN</t>
        </is>
      </c>
      <c r="G226" t="inlineStr">
        <is>
          <t>BOLLEBYGD</t>
        </is>
      </c>
      <c r="H226" t="inlineStr">
        <is>
          <t>Kommuner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35071-2026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46259</v>
      </c>
      <c r="E227" s="1" t="n">
        <v>46314</v>
      </c>
      <c r="F227" t="inlineStr">
        <is>
          <t>VÄSTRA GÖTALANDS LÄN</t>
        </is>
      </c>
      <c r="G227" t="inlineStr">
        <is>
          <t>BOLLEBYGD</t>
        </is>
      </c>
      <c r="I227" t="n">
        <v>2.5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42821-2026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46309</v>
      </c>
      <c r="E228" s="1" t="n">
        <v>46314</v>
      </c>
      <c r="F228" t="inlineStr">
        <is>
          <t>VÄSTRA GÖTALANDS LÄN</t>
        </is>
      </c>
      <c r="G228" t="inlineStr">
        <is>
          <t>BOLLEBYGD</t>
        </is>
      </c>
      <c r="I228" t="n">
        <v>4.1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42822-2026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46309</v>
      </c>
      <c r="E229" s="1" t="n">
        <v>46314</v>
      </c>
      <c r="F229" t="inlineStr">
        <is>
          <t>VÄSTRA GÖTALANDS LÄN</t>
        </is>
      </c>
      <c r="G229" t="inlineStr">
        <is>
          <t>BOLLEBYGD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43093-2026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46311</v>
      </c>
      <c r="E230" s="1" t="n">
        <v>46314</v>
      </c>
      <c r="F230" t="inlineStr">
        <is>
          <t>VÄSTRA GÖTALANDS LÄN</t>
        </is>
      </c>
      <c r="G230" t="inlineStr">
        <is>
          <t>BOLLEBYGD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9086-2025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45713</v>
      </c>
      <c r="E231" s="1" t="n">
        <v>46314</v>
      </c>
      <c r="F231" t="inlineStr">
        <is>
          <t>VÄSTRA GÖTALANDS LÄN</t>
        </is>
      </c>
      <c r="G231" t="inlineStr">
        <is>
          <t>BOLLEBYGD</t>
        </is>
      </c>
      <c r="I231" t="n">
        <v>4.1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28073-2024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45476</v>
      </c>
      <c r="E232" s="1" t="n">
        <v>46314</v>
      </c>
      <c r="F232" t="inlineStr">
        <is>
          <t>VÄSTRA GÖTALANDS LÄN</t>
        </is>
      </c>
      <c r="G232" t="inlineStr">
        <is>
          <t>BOLLEBYGD</t>
        </is>
      </c>
      <c r="I232" t="n">
        <v>7.4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29794-2025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45825</v>
      </c>
      <c r="E233" s="1" t="n">
        <v>46314</v>
      </c>
      <c r="F233" t="inlineStr">
        <is>
          <t>VÄSTRA GÖTALANDS LÄN</t>
        </is>
      </c>
      <c r="G233" t="inlineStr">
        <is>
          <t>BOLLEBYGD</t>
        </is>
      </c>
      <c r="I233" t="n">
        <v>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10918-2025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45722</v>
      </c>
      <c r="E234" s="1" t="n">
        <v>46314</v>
      </c>
      <c r="F234" t="inlineStr">
        <is>
          <t>VÄSTRA GÖTALANDS LÄN</t>
        </is>
      </c>
      <c r="G234" t="inlineStr">
        <is>
          <t>BOLLEBYGD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9471-2025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45715</v>
      </c>
      <c r="E235" s="1" t="n">
        <v>46314</v>
      </c>
      <c r="F235" t="inlineStr">
        <is>
          <t>VÄSTRA GÖTALANDS LÄN</t>
        </is>
      </c>
      <c r="G235" t="inlineStr">
        <is>
          <t>BOLLEBYGD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31804-2025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45834</v>
      </c>
      <c r="E236" s="1" t="n">
        <v>46314</v>
      </c>
      <c r="F236" t="inlineStr">
        <is>
          <t>VÄSTRA GÖTALANDS LÄN</t>
        </is>
      </c>
      <c r="G236" t="inlineStr">
        <is>
          <t>BOLLEBYGD</t>
        </is>
      </c>
      <c r="I236" t="n">
        <v>1.2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32320-2025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45836</v>
      </c>
      <c r="E237" s="1" t="n">
        <v>46314</v>
      </c>
      <c r="F237" t="inlineStr">
        <is>
          <t>VÄSTRA GÖTALANDS LÄN</t>
        </is>
      </c>
      <c r="G237" t="inlineStr">
        <is>
          <t>BOLLEBYGD</t>
        </is>
      </c>
      <c r="I237" t="n">
        <v>11.7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32506-2025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45838</v>
      </c>
      <c r="E238" s="1" t="n">
        <v>46314</v>
      </c>
      <c r="F238" t="inlineStr">
        <is>
          <t>VÄSTRA GÖTALANDS LÄN</t>
        </is>
      </c>
      <c r="G238" t="inlineStr">
        <is>
          <t>BOLLEBYGD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28158-2024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45476</v>
      </c>
      <c r="E239" s="1" t="n">
        <v>46314</v>
      </c>
      <c r="F239" t="inlineStr">
        <is>
          <t>VÄSTRA GÖTALANDS LÄN</t>
        </is>
      </c>
      <c r="G239" t="inlineStr">
        <is>
          <t>BOLLEBYGD</t>
        </is>
      </c>
      <c r="I239" t="n">
        <v>6.1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45664</v>
      </c>
      <c r="E240" s="1" t="n">
        <v>46314</v>
      </c>
      <c r="F240" t="inlineStr">
        <is>
          <t>VÄSTRA GÖTALANDS LÄN</t>
        </is>
      </c>
      <c r="G240" t="inlineStr">
        <is>
          <t>BOLLEBYGD</t>
        </is>
      </c>
      <c r="I240" t="n">
        <v>3.5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36650-2025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45872</v>
      </c>
      <c r="E241" s="1" t="n">
        <v>46314</v>
      </c>
      <c r="F241" t="inlineStr">
        <is>
          <t>VÄSTRA GÖTALANDS LÄN</t>
        </is>
      </c>
      <c r="G241" t="inlineStr">
        <is>
          <t>BOLLEBYGD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2751-2025</t>
        </is>
      </c>
      <c r="B242" t="inlineStr">
        <is>
          <t>samrådsanmälan</t>
        </is>
      </c>
      <c r="C242" t="inlineStr">
        <is>
          <t>Annan skogsbruksåtgärd</t>
        </is>
      </c>
      <c r="D242" s="1" t="n">
        <v>45934</v>
      </c>
      <c r="E242" s="1" t="n">
        <v>46314</v>
      </c>
      <c r="F242" t="inlineStr">
        <is>
          <t>VÄSTRA GÖTALANDS LÄN</t>
        </is>
      </c>
      <c r="G242" t="inlineStr">
        <is>
          <t>BOLLEBYGD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1396-2026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46154</v>
      </c>
      <c r="E243" s="1" t="n">
        <v>46314</v>
      </c>
      <c r="F243" t="inlineStr">
        <is>
          <t>VÄSTRA GÖTALANDS LÄN</t>
        </is>
      </c>
      <c r="G243" t="inlineStr">
        <is>
          <t>BOLLEBYGD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>
      <c r="A244" t="inlineStr">
        <is>
          <t>S 2143-2026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46246</v>
      </c>
      <c r="E244" s="1" t="n">
        <v>46314</v>
      </c>
      <c r="F244" t="inlineStr">
        <is>
          <t>VÄSTRA GÖTALANDS LÄN</t>
        </is>
      </c>
      <c r="G244" t="inlineStr">
        <is>
          <t>BOLLEBYGD</t>
        </is>
      </c>
      <c r="I244" t="n">
        <v>0.2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2026-10-19T02:03:32Z</dcterms:created>
  <dcterms:modified xmlns:dcterms="http://purl.org/dc/terms/" xmlns:xsi="http://www.w3.org/2001/XMLSchema-instance" xsi:type="dcterms:W3CDTF">2026-10-19T02:03:32Z</dcterms:modified>
</cp:coreProperties>
</file>