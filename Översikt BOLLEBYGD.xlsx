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45750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45750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45750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45750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45750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45750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45750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45750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  <c r="Z9">
        <f>HYPERLINK("https://klasma.github.io/Logging_1443/fåglar/A 30666-2023 prioriterade fågelarter.docx",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45750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30777-2023</t>
        </is>
      </c>
      <c r="B11" s="1" t="n">
        <v>45112</v>
      </c>
      <c r="C11" s="1" t="n">
        <v>45750</v>
      </c>
      <c r="D11" t="inlineStr">
        <is>
          <t>VÄSTRA GÖTALANDS LÄN</t>
        </is>
      </c>
      <c r="E11" t="inlineStr">
        <is>
          <t>BOLLEBYGD</t>
        </is>
      </c>
      <c r="G11" t="n">
        <v>6.2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HYPERLINK("https://klasma.github.io/Logging_1443/artfynd/A 30777-2023 artfynd.xlsx", "A 30777-2023")</f>
        <v/>
      </c>
      <c r="T11">
        <f>HYPERLINK("https://klasma.github.io/Logging_1443/kartor/A 30777-2023 karta.png", "A 30777-2023")</f>
        <v/>
      </c>
      <c r="V11">
        <f>HYPERLINK("https://klasma.github.io/Logging_1443/klagomål/A 30777-2023 FSC-klagomål.docx", "A 30777-2023")</f>
        <v/>
      </c>
      <c r="W11">
        <f>HYPERLINK("https://klasma.github.io/Logging_1443/klagomålsmail/A 30777-2023 FSC-klagomål mail.docx", "A 30777-2023")</f>
        <v/>
      </c>
      <c r="X11">
        <f>HYPERLINK("https://klasma.github.io/Logging_1443/tillsyn/A 30777-2023 tillsynsbegäran.docx", "A 30777-2023")</f>
        <v/>
      </c>
      <c r="Y11">
        <f>HYPERLINK("https://klasma.github.io/Logging_1443/tillsynsmail/A 30777-2023 tillsynsbegäran mail.docx", "A 30777-2023")</f>
        <v/>
      </c>
    </row>
    <row r="12" ht="15" customHeight="1">
      <c r="A12" t="inlineStr">
        <is>
          <t>A 30785-2023</t>
        </is>
      </c>
      <c r="B12" s="1" t="n">
        <v>45112</v>
      </c>
      <c r="C12" s="1" t="n">
        <v>45750</v>
      </c>
      <c r="D12" t="inlineStr">
        <is>
          <t>VÄSTRA GÖTALANDS LÄN</t>
        </is>
      </c>
      <c r="E12" t="inlineStr">
        <is>
          <t>BOLLEBYGD</t>
        </is>
      </c>
      <c r="G12" t="n">
        <v>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30785-2023 artfynd.xlsx", "A 30785-2023")</f>
        <v/>
      </c>
      <c r="T12">
        <f>HYPERLINK("https://klasma.github.io/Logging_1443/kartor/A 30785-2023 karta.png", "A 30785-2023")</f>
        <v/>
      </c>
      <c r="V12">
        <f>HYPERLINK("https://klasma.github.io/Logging_1443/klagomål/A 30785-2023 FSC-klagomål.docx", "A 30785-2023")</f>
        <v/>
      </c>
      <c r="W12">
        <f>HYPERLINK("https://klasma.github.io/Logging_1443/klagomålsmail/A 30785-2023 FSC-klagomål mail.docx", "A 30785-2023")</f>
        <v/>
      </c>
      <c r="X12">
        <f>HYPERLINK("https://klasma.github.io/Logging_1443/tillsyn/A 30785-2023 tillsynsbegäran.docx", "A 30785-2023")</f>
        <v/>
      </c>
      <c r="Y12">
        <f>HYPERLINK("https://klasma.github.io/Logging_1443/tillsynsmail/A 30785-2023 tillsynsbegäran mail.docx", "A 30785-2023")</f>
        <v/>
      </c>
    </row>
    <row r="13" ht="15" customHeight="1">
      <c r="A13" t="inlineStr">
        <is>
          <t>A 31742-2023</t>
        </is>
      </c>
      <c r="B13" s="1" t="n">
        <v>45117</v>
      </c>
      <c r="C13" s="1" t="n">
        <v>45750</v>
      </c>
      <c r="D13" t="inlineStr">
        <is>
          <t>VÄSTRA GÖTALANDS LÄN</t>
        </is>
      </c>
      <c r="E13" t="inlineStr">
        <is>
          <t>BOLLEBYGD</t>
        </is>
      </c>
      <c r="G13" t="n">
        <v>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31742-2023 artfynd.xlsx", "A 31742-2023")</f>
        <v/>
      </c>
      <c r="T13">
        <f>HYPERLINK("https://klasma.github.io/Logging_1443/kartor/A 31742-2023 karta.png", "A 31742-2023")</f>
        <v/>
      </c>
      <c r="V13">
        <f>HYPERLINK("https://klasma.github.io/Logging_1443/klagomål/A 31742-2023 FSC-klagomål.docx", "A 31742-2023")</f>
        <v/>
      </c>
      <c r="W13">
        <f>HYPERLINK("https://klasma.github.io/Logging_1443/klagomålsmail/A 31742-2023 FSC-klagomål mail.docx", "A 31742-2023")</f>
        <v/>
      </c>
      <c r="X13">
        <f>HYPERLINK("https://klasma.github.io/Logging_1443/tillsyn/A 31742-2023 tillsynsbegäran.docx", "A 31742-2023")</f>
        <v/>
      </c>
      <c r="Y13">
        <f>HYPERLINK("https://klasma.github.io/Logging_1443/tillsynsmail/A 31742-2023 tillsynsbegäran mail.docx", "A 31742-2023")</f>
        <v/>
      </c>
      <c r="Z13">
        <f>HYPERLINK("https://klasma.github.io/Logging_1443/fåglar/A 31742-2023 prioriterade fågelarter.docx", "A 31742-2023")</f>
        <v/>
      </c>
    </row>
    <row r="14" ht="15" customHeight="1">
      <c r="A14" t="inlineStr">
        <is>
          <t>A 13739-2024</t>
        </is>
      </c>
      <c r="B14" s="1" t="n">
        <v>45390</v>
      </c>
      <c r="C14" s="1" t="n">
        <v>45750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HYPERLINK("https://klasma.github.io/Logging_1443/artfynd/A 13739-2024 artfynd.xlsx", "A 13739-2024")</f>
        <v/>
      </c>
      <c r="T14">
        <f>HYPERLINK("https://klasma.github.io/Logging_1443/kartor/A 13739-2024 karta.png", "A 13739-2024")</f>
        <v/>
      </c>
      <c r="V14">
        <f>HYPERLINK("https://klasma.github.io/Logging_1443/klagomål/A 13739-2024 FSC-klagomål.docx", "A 13739-2024")</f>
        <v/>
      </c>
      <c r="W14">
        <f>HYPERLINK("https://klasma.github.io/Logging_1443/klagomålsmail/A 13739-2024 FSC-klagomål mail.docx", "A 13739-2024")</f>
        <v/>
      </c>
      <c r="X14">
        <f>HYPERLINK("https://klasma.github.io/Logging_1443/tillsyn/A 13739-2024 tillsynsbegäran.docx", "A 13739-2024")</f>
        <v/>
      </c>
      <c r="Y14">
        <f>HYPERLINK("https://klasma.github.io/Logging_1443/tillsynsmail/A 13739-2024 tillsynsbegäran mail.docx", "A 13739-2024")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45750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45750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45750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45750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45750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45750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45750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45750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45750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45750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45750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45750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45750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45750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45750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45750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45750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45750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45750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45750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45750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45750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45750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45750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45750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45750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45750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45750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45750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45750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45750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45750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45750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45750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45750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45750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45750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45750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45750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45750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45750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45750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45750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45750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45750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45750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45750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45750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45750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45750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45750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45750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45750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45750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45750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45750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45750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45750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45750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45750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45750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45750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45750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45750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45750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45750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45750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45750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45750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45750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45750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45750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45750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45750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45750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45750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45750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45750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45750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45750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45750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45750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45750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45750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45750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45750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45750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45750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45750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45750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45750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45750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45750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45750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45750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45750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45750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45750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45750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45750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45750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45750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45750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45750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45750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45750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45750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45750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45750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45750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45750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45750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45750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45750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45750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45750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45750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45750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45750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45750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45750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45750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45750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45750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45750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45750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45750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45750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45750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45750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45750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45750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45750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45750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45750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45750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45750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45750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45750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45750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45750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45750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45750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45750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45750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45750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45750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45750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45750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45750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45750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45750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45750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45750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45750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45750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45750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45750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45750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45750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45750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45750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45750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45750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45750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45750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45750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45750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45750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45750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45750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45750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45750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45750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45750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45750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45750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45750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45750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45750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45750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45750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45750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45750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45750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45750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45750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45750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45750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45750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45750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45750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45750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45750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45750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45750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45750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45750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45750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45750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45750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45750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45750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45750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45750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45750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45750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45750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45750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45750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45750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45750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45750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45750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45750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45750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45750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45750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45750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45750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45750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45750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45750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45750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45750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45750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45750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45750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45750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45750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45750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45750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45750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45750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45750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45750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45750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45750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45750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45750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45750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45750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45750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45750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45750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45750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45750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45750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45750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45750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45750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45750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45750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45750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45750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45750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45750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45750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45750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45750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45750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45750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45750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45750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45750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45750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45750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45750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45750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45750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45750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45750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45750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45750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45750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45750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45750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45750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45750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45750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45750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45750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45750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45750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45750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45750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45750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45750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45750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45750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45750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45750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45750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45750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45750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45750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45750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45750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45750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45750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45750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45750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45750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45750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45750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45750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45750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45750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45750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45750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45750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45750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45750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45750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45750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45750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45750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45750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45750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45750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45750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45750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45750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45750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45750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45750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45750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45750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45750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45750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45750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45750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45750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45750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45750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45750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45750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45750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45750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45750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45750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45750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45750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45750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45750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45750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45750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45750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45750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45750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45750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45750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45750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45750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45750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45750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45750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45750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45750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45750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45750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45750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45750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45750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45750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45750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45750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45750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45750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45750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3803-2025</t>
        </is>
      </c>
      <c r="B385" s="1" t="n">
        <v>45681</v>
      </c>
      <c r="C385" s="1" t="n">
        <v>45750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6064-2025</t>
        </is>
      </c>
      <c r="B386" s="1" t="n">
        <v>45696</v>
      </c>
      <c r="C386" s="1" t="n">
        <v>45750</v>
      </c>
      <c r="D386" t="inlineStr">
        <is>
          <t>VÄSTRA GÖTALANDS LÄN</t>
        </is>
      </c>
      <c r="E386" t="inlineStr">
        <is>
          <t>BOLLEBYGD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7011-2025</t>
        </is>
      </c>
      <c r="B387" s="1" t="n">
        <v>45701</v>
      </c>
      <c r="C387" s="1" t="n">
        <v>45750</v>
      </c>
      <c r="D387" t="inlineStr">
        <is>
          <t>VÄSTRA GÖTALANDS LÄN</t>
        </is>
      </c>
      <c r="E387" t="inlineStr">
        <is>
          <t>BOLLEBYGD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7040-2025</t>
        </is>
      </c>
      <c r="B388" s="1" t="n">
        <v>45701</v>
      </c>
      <c r="C388" s="1" t="n">
        <v>45750</v>
      </c>
      <c r="D388" t="inlineStr">
        <is>
          <t>VÄSTRA GÖTALANDS LÄN</t>
        </is>
      </c>
      <c r="E388" t="inlineStr">
        <is>
          <t>BOLLEBYGD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7046-2025</t>
        </is>
      </c>
      <c r="B389" s="1" t="n">
        <v>45701</v>
      </c>
      <c r="C389" s="1" t="n">
        <v>45750</v>
      </c>
      <c r="D389" t="inlineStr">
        <is>
          <t>VÄSTRA GÖTALANDS LÄN</t>
        </is>
      </c>
      <c r="E389" t="inlineStr">
        <is>
          <t>BOLLEBYGD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7340-2025</t>
        </is>
      </c>
      <c r="B390" s="1" t="n">
        <v>45703</v>
      </c>
      <c r="C390" s="1" t="n">
        <v>45750</v>
      </c>
      <c r="D390" t="inlineStr">
        <is>
          <t>VÄSTRA GÖTALANDS LÄN</t>
        </is>
      </c>
      <c r="E390" t="inlineStr">
        <is>
          <t>BOLLEBYGD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7339-2025</t>
        </is>
      </c>
      <c r="B391" s="1" t="n">
        <v>45703</v>
      </c>
      <c r="C391" s="1" t="n">
        <v>45750</v>
      </c>
      <c r="D391" t="inlineStr">
        <is>
          <t>VÄSTRA GÖTALANDS LÄN</t>
        </is>
      </c>
      <c r="E391" t="inlineStr">
        <is>
          <t>BOLLEBYGD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8570-2025</t>
        </is>
      </c>
      <c r="B392" s="1" t="n">
        <v>45709</v>
      </c>
      <c r="C392" s="1" t="n">
        <v>45750</v>
      </c>
      <c r="D392" t="inlineStr">
        <is>
          <t>VÄSTRA GÖTALANDS LÄN</t>
        </is>
      </c>
      <c r="E392" t="inlineStr">
        <is>
          <t>BOLLEBYGD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9086-2025</t>
        </is>
      </c>
      <c r="B393" s="1" t="n">
        <v>45713</v>
      </c>
      <c r="C393" s="1" t="n">
        <v>45750</v>
      </c>
      <c r="D393" t="inlineStr">
        <is>
          <t>VÄSTRA GÖTALANDS LÄN</t>
        </is>
      </c>
      <c r="E393" t="inlineStr">
        <is>
          <t>BOLLEBYGD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9471-2025</t>
        </is>
      </c>
      <c r="B394" s="1" t="n">
        <v>45715</v>
      </c>
      <c r="C394" s="1" t="n">
        <v>45750</v>
      </c>
      <c r="D394" t="inlineStr">
        <is>
          <t>VÄSTRA GÖTALANDS LÄN</t>
        </is>
      </c>
      <c r="E394" t="inlineStr">
        <is>
          <t>BOLLEBYGD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10610-2025</t>
        </is>
      </c>
      <c r="B395" s="1" t="n">
        <v>45721</v>
      </c>
      <c r="C395" s="1" t="n">
        <v>45750</v>
      </c>
      <c r="D395" t="inlineStr">
        <is>
          <t>VÄSTRA GÖTALANDS LÄN</t>
        </is>
      </c>
      <c r="E395" t="inlineStr">
        <is>
          <t>BOLLEBYGD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10918-2025</t>
        </is>
      </c>
      <c r="B396" s="1" t="n">
        <v>45722</v>
      </c>
      <c r="C396" s="1" t="n">
        <v>45750</v>
      </c>
      <c r="D396" t="inlineStr">
        <is>
          <t>VÄSTRA GÖTALANDS LÄN</t>
        </is>
      </c>
      <c r="E396" t="inlineStr">
        <is>
          <t>BOLLEBYGD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11981-2025</t>
        </is>
      </c>
      <c r="B397" s="1" t="n">
        <v>45728</v>
      </c>
      <c r="C397" s="1" t="n">
        <v>45750</v>
      </c>
      <c r="D397" t="inlineStr">
        <is>
          <t>VÄSTRA GÖTALANDS LÄN</t>
        </is>
      </c>
      <c r="E397" t="inlineStr">
        <is>
          <t>BOLLEBYGD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13121-2025</t>
        </is>
      </c>
      <c r="B398" s="1" t="n">
        <v>45734</v>
      </c>
      <c r="C398" s="1" t="n">
        <v>45750</v>
      </c>
      <c r="D398" t="inlineStr">
        <is>
          <t>VÄSTRA GÖTALANDS LÄN</t>
        </is>
      </c>
      <c r="E398" t="inlineStr">
        <is>
          <t>BOLLEBYGD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14032-2025</t>
        </is>
      </c>
      <c r="B399" s="1" t="n">
        <v>45740</v>
      </c>
      <c r="C399" s="1" t="n">
        <v>45750</v>
      </c>
      <c r="D399" t="inlineStr">
        <is>
          <t>VÄSTRA GÖTALANDS LÄN</t>
        </is>
      </c>
      <c r="E399" t="inlineStr">
        <is>
          <t>BOLLEBYGD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>
      <c r="A400" t="inlineStr">
        <is>
          <t>A 15969-2025</t>
        </is>
      </c>
      <c r="B400" s="1" t="n">
        <v>45749</v>
      </c>
      <c r="C400" s="1" t="n">
        <v>45750</v>
      </c>
      <c r="D400" t="inlineStr">
        <is>
          <t>VÄSTRA GÖTALANDS LÄN</t>
        </is>
      </c>
      <c r="E400" t="inlineStr">
        <is>
          <t>BOLLEBYGD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2025-04-03T20:46:25Z</dcterms:created>
  <dcterms:modified xmlns:dcterms="http://purl.org/dc/terms/" xmlns:xsi="http://www.w3.org/2001/XMLSchema-instance" xsi:type="dcterms:W3CDTF">2025-04-03T20:46:25Z</dcterms:modified>
</cp:coreProperties>
</file>