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46324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46324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46324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46324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46324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46324</v>
      </c>
      <c r="F7" t="inlineStr">
        <is>
          <t>VÄSTRA GÖTALANDS LÄN</t>
        </is>
      </c>
      <c r="G7" t="inlineStr">
        <is>
          <t>BOLLEBYGD</t>
        </is>
      </c>
      <c r="I7" t="n">
        <v>6.2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10</v>
      </c>
      <c r="U7" t="n">
        <v>8</v>
      </c>
      <c r="V7" s="2" t="inlineStr">
        <is>
          <t>Oxtungssvamp
Vågbandad barkbock
Tofsmes
Svartvit flugsnappare
Grönvit nattviol</t>
        </is>
      </c>
      <c r="W7">
        <f>HYPERLINK("https://klasma.github.io/Logging_1443/artfynd/A 30777-2023 artfynd.xlsx", "A 30777-2023")</f>
        <v/>
      </c>
      <c r="X7">
        <f>HYPERLINK("https://klasma.github.io/Logging_1443/kartor/A 30777-2023 karta.png", "A 30777-2023")</f>
        <v/>
      </c>
      <c r="Y7">
        <f>HYPERLINK("https://klasma.github.io/Logging_1443/kartor_geotiff/A 30777-2023 georefererad karta.tif", "A 30777-2023")</f>
        <v/>
      </c>
      <c r="AA7">
        <f>HYPERLINK("https://klasma.github.io/Logging_1443/klagomål/A 30777-2023 FSC-klagomål.docx", "A 30777-2023")</f>
        <v/>
      </c>
      <c r="AB7">
        <f>HYPERLINK("https://klasma.github.io/Logging_1443/klagomålsmail/A 30777-2023 FSC-klagomål mail.docx", "A 30777-2023")</f>
        <v/>
      </c>
      <c r="AC7">
        <f>HYPERLINK("https://klasma.github.io/Logging_1443/tillsyn/A 30777-2023 tillsynsbegäran.docx", "A 30777-2023")</f>
        <v/>
      </c>
      <c r="AD7">
        <f>HYPERLINK("https://klasma.github.io/Logging_1443/tillsynsmail/A 30777-2023 tillsynsbegäran mail.docx", "A 30777-2023")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46324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46324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46324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30785-2023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46324</v>
      </c>
      <c r="F11" t="inlineStr">
        <is>
          <t>VÄSTRA GÖTALANDS LÄN</t>
        </is>
      </c>
      <c r="G11" t="inlineStr">
        <is>
          <t>BOLLEBYGD</t>
        </is>
      </c>
      <c r="I11" t="n">
        <v>3.4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Lunglav
Grönvit nattviol
Revlummer</t>
        </is>
      </c>
      <c r="W11">
        <f>HYPERLINK("https://klasma.github.io/Logging_1443/artfynd/A 30785-2023 artfynd.xlsx", "A 30785-2023")</f>
        <v/>
      </c>
      <c r="X11">
        <f>HYPERLINK("https://klasma.github.io/Logging_1443/kartor/A 30785-2023 karta.png", "A 30785-2023")</f>
        <v/>
      </c>
      <c r="Y11">
        <f>HYPERLINK("https://klasma.github.io/Logging_1443/kartor_geotiff/A 30785-2023 georefererad karta.tif", "A 30785-2023")</f>
        <v/>
      </c>
      <c r="AA11">
        <f>HYPERLINK("https://klasma.github.io/Logging_1443/klagomål/A 30785-2023 FSC-klagomål.docx", "A 30785-2023")</f>
        <v/>
      </c>
      <c r="AB11">
        <f>HYPERLINK("https://klasma.github.io/Logging_1443/klagomålsmail/A 30785-2023 FSC-klagomål mail.docx", "A 30785-2023")</f>
        <v/>
      </c>
      <c r="AC11">
        <f>HYPERLINK("https://klasma.github.io/Logging_1443/tillsyn/A 30785-2023 tillsynsbegäran.docx", "A 30785-2023")</f>
        <v/>
      </c>
      <c r="AD11">
        <f>HYPERLINK("https://klasma.github.io/Logging_1443/tillsynsmail/A 30785-2023 tillsynsbegäran mail.docx", "A 30785-2023")</f>
        <v/>
      </c>
    </row>
    <row r="12" ht="15" customHeight="1">
      <c r="A12" t="inlineStr">
        <is>
          <t>A 30671-2023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46324</v>
      </c>
      <c r="F12" t="inlineStr">
        <is>
          <t>VÄSTRA GÖTALANDS LÄN</t>
        </is>
      </c>
      <c r="G12" t="inlineStr">
        <is>
          <t>BOLLEBYGD</t>
        </is>
      </c>
      <c r="I12" t="n">
        <v>4.9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12</v>
      </c>
      <c r="U12" t="n">
        <v>10</v>
      </c>
      <c r="V12" s="2" t="inlineStr">
        <is>
          <t>Knärot
Järnsparv
Spillkråka</t>
        </is>
      </c>
      <c r="W12">
        <f>HYPERLINK("https://klasma.github.io/Logging_1443/artfynd/A 30671-2023 artfynd.xlsx", "A 30671-2023")</f>
        <v/>
      </c>
      <c r="X12">
        <f>HYPERLINK("https://klasma.github.io/Logging_1443/kartor/A 30671-2023 karta.png", "A 30671-2023")</f>
        <v/>
      </c>
      <c r="Y12">
        <f>HYPERLINK("https://klasma.github.io/Logging_1443/kartor_geotiff/A 30671-2023 georefererad karta.tif", "A 30671-2023")</f>
        <v/>
      </c>
      <c r="Z12">
        <f>HYPERLINK("https://klasma.github.io/Logging_1443/knärot/A 30671-2023 karta knärot.png", "A 30671-2023")</f>
        <v/>
      </c>
      <c r="AA12">
        <f>HYPERLINK("https://klasma.github.io/Logging_1443/klagomål/A 30671-2023 FSC-klagomål.docx", "A 30671-2023")</f>
        <v/>
      </c>
      <c r="AB12">
        <f>HYPERLINK("https://klasma.github.io/Logging_1443/klagomålsmail/A 30671-2023 FSC-klagomål mail.docx", "A 30671-2023")</f>
        <v/>
      </c>
      <c r="AC12">
        <f>HYPERLINK("https://klasma.github.io/Logging_1443/tillsyn/A 30671-2023 tillsynsbegäran.docx", "A 30671-2023")</f>
        <v/>
      </c>
      <c r="AD12">
        <f>HYPERLINK("https://klasma.github.io/Logging_1443/tillsynsmail/A 30671-2023 tillsynsbegäran mail.docx", "A 30671-2023")</f>
        <v/>
      </c>
      <c r="AE12">
        <f>HYPERLINK("https://klasma.github.io/Logging_1443/fåglar/A 30671-2023 prioriterade fågelarter.docx", "A 30671-2023")</f>
        <v/>
      </c>
    </row>
    <row r="13" ht="15" customHeight="1">
      <c r="A13" t="inlineStr">
        <is>
          <t>A 31714-2023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46324</v>
      </c>
      <c r="F13" t="inlineStr">
        <is>
          <t>VÄSTRA GÖTALANDS LÄN</t>
        </is>
      </c>
      <c r="G13" t="inlineStr">
        <is>
          <t>BOLLEBYGD</t>
        </is>
      </c>
      <c r="I13" t="n">
        <v>2.4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Spillkråka
Grönsiska</t>
        </is>
      </c>
      <c r="W13">
        <f>HYPERLINK("https://klasma.github.io/Logging_1443/artfynd/A 31714-2023 artfynd.xlsx", "A 31714-2023")</f>
        <v/>
      </c>
      <c r="X13">
        <f>HYPERLINK("https://klasma.github.io/Logging_1443/kartor/A 31714-2023 karta.png", "A 31714-2023")</f>
        <v/>
      </c>
      <c r="Y13">
        <f>HYPERLINK("https://klasma.github.io/Logging_1443/kartor_geotiff/A 31714-2023 georefererad karta.tif", "A 31714-2023")</f>
        <v/>
      </c>
      <c r="AA13">
        <f>HYPERLINK("https://klasma.github.io/Logging_1443/klagomål/A 31714-2023 FSC-klagomål.docx", "A 31714-2023")</f>
        <v/>
      </c>
      <c r="AB13">
        <f>HYPERLINK("https://klasma.github.io/Logging_1443/klagomålsmail/A 31714-2023 FSC-klagomål mail.docx", "A 31714-2023")</f>
        <v/>
      </c>
      <c r="AC13">
        <f>HYPERLINK("https://klasma.github.io/Logging_1443/tillsyn/A 31714-2023 tillsynsbegäran.docx", "A 31714-2023")</f>
        <v/>
      </c>
      <c r="AD13">
        <f>HYPERLINK("https://klasma.github.io/Logging_1443/tillsynsmail/A 31714-2023 tillsynsbegäran mail.docx", "A 31714-2023")</f>
        <v/>
      </c>
      <c r="AE13">
        <f>HYPERLINK("https://klasma.github.io/Logging_1443/fåglar/A 31714-2023 prioriterade fågelarter.docx", "A 31714-2023")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46324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46324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13115-2026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46093</v>
      </c>
      <c r="E16" s="1" t="n">
        <v>46324</v>
      </c>
      <c r="F16" t="inlineStr">
        <is>
          <t>VÄSTRA GÖTALANDS LÄN</t>
        </is>
      </c>
      <c r="G16" t="inlineStr">
        <is>
          <t>BOLLEBYGD</t>
        </is>
      </c>
      <c r="I16" t="n">
        <v>6.5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Mattlummer
Fläcknycklar</t>
        </is>
      </c>
      <c r="W16">
        <f>HYPERLINK("https://klasma.github.io/Logging_1443/artfynd/A 13115-2026 artfynd.xlsx", "A 13115-2026")</f>
        <v/>
      </c>
      <c r="X16">
        <f>HYPERLINK("https://klasma.github.io/Logging_1443/kartor/A 13115-2026 karta.png", "A 13115-2026")</f>
        <v/>
      </c>
      <c r="Y16">
        <f>HYPERLINK("https://klasma.github.io/Logging_1443/kartor_geotiff/A 13115-2026 georefererad karta.tif", "A 13115-2026")</f>
        <v/>
      </c>
      <c r="AA16">
        <f>HYPERLINK("https://klasma.github.io/Logging_1443/klagomål/A 13115-2026 FSC-klagomål.docx", "A 13115-2026")</f>
        <v/>
      </c>
      <c r="AB16">
        <f>HYPERLINK("https://klasma.github.io/Logging_1443/klagomålsmail/A 13115-2026 FSC-klagomål mail.docx", "A 13115-2026")</f>
        <v/>
      </c>
      <c r="AC16">
        <f>HYPERLINK("https://klasma.github.io/Logging_1443/tillsyn/A 13115-2026 tillsynsbegäran.docx", "A 13115-2026")</f>
        <v/>
      </c>
      <c r="AD16">
        <f>HYPERLINK("https://klasma.github.io/Logging_1443/tillsynsmail/A 13115-2026 tillsynsbegäran mail.docx", "A 13115-2026")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46324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46324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30666-2023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46324</v>
      </c>
      <c r="F19" t="inlineStr">
        <is>
          <t>VÄSTRA GÖTALANDS LÄN</t>
        </is>
      </c>
      <c r="G19" t="inlineStr">
        <is>
          <t>BOLLEBYGD</t>
        </is>
      </c>
      <c r="I19" t="n">
        <v>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Talltita
Tjäder</t>
        </is>
      </c>
      <c r="W19">
        <f>HYPERLINK("https://klasma.github.io/Logging_1443/artfynd/A 30666-2023 artfynd.xlsx", "A 30666-2023")</f>
        <v/>
      </c>
      <c r="X19">
        <f>HYPERLINK("https://klasma.github.io/Logging_1443/kartor/A 30666-2023 karta.png", "A 30666-2023")</f>
        <v/>
      </c>
      <c r="Y19">
        <f>HYPERLINK("https://klasma.github.io/Logging_1443/kartor_geotiff/A 30666-2023 georefererad karta.tif", "A 30666-2023")</f>
        <v/>
      </c>
      <c r="AA19">
        <f>HYPERLINK("https://klasma.github.io/Logging_1443/klagomål/A 30666-2023 FSC-klagomål.docx", "A 30666-2023")</f>
        <v/>
      </c>
      <c r="AB19">
        <f>HYPERLINK("https://klasma.github.io/Logging_1443/klagomålsmail/A 30666-2023 FSC-klagomål mail.docx", "A 30666-2023")</f>
        <v/>
      </c>
      <c r="AC19">
        <f>HYPERLINK("https://klasma.github.io/Logging_1443/tillsyn/A 30666-2023 tillsynsbegäran.docx", "A 30666-2023")</f>
        <v/>
      </c>
      <c r="AD19">
        <f>HYPERLINK("https://klasma.github.io/Logging_1443/tillsynsmail/A 30666-2023 tillsynsbegäran mail.docx", "A 30666-2023")</f>
        <v/>
      </c>
      <c r="AE19">
        <f>HYPERLINK("https://klasma.github.io/Logging_1443/fåglar/A 30666-2023 prioriterade fågelarter.docx", "A 30666-2023")</f>
        <v/>
      </c>
    </row>
    <row r="20" ht="15" customHeight="1">
      <c r="A20" t="inlineStr">
        <is>
          <t>A 9930-2024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45363</v>
      </c>
      <c r="E20" s="1" t="n">
        <v>46324</v>
      </c>
      <c r="F20" t="inlineStr">
        <is>
          <t>VÄSTRA GÖTALANDS LÄN</t>
        </is>
      </c>
      <c r="G20" t="inlineStr">
        <is>
          <t>BOLLEBYGD</t>
        </is>
      </c>
      <c r="I20" t="n">
        <v>4.3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Större träfjäril
Spillkråka</t>
        </is>
      </c>
      <c r="W20">
        <f>HYPERLINK("https://klasma.github.io/Logging_1443/artfynd/A 9930-2024 artfynd.xlsx", "A 9930-2024")</f>
        <v/>
      </c>
      <c r="X20">
        <f>HYPERLINK("https://klasma.github.io/Logging_1443/kartor/A 9930-2024 karta.png", "A 9930-2024")</f>
        <v/>
      </c>
      <c r="Y20">
        <f>HYPERLINK("https://klasma.github.io/Logging_1443/kartor_geotiff/A 9930-2024 georefererad karta.tif", "A 9930-2024")</f>
        <v/>
      </c>
      <c r="AA20">
        <f>HYPERLINK("https://klasma.github.io/Logging_1443/klagomål/A 9930-2024 FSC-klagomål.docx", "A 9930-2024")</f>
        <v/>
      </c>
      <c r="AB20">
        <f>HYPERLINK("https://klasma.github.io/Logging_1443/klagomålsmail/A 9930-2024 FSC-klagomål mail.docx", "A 9930-2024")</f>
        <v/>
      </c>
      <c r="AC20">
        <f>HYPERLINK("https://klasma.github.io/Logging_1443/tillsyn/A 9930-2024 tillsynsbegäran.docx", "A 9930-2024")</f>
        <v/>
      </c>
      <c r="AD20">
        <f>HYPERLINK("https://klasma.github.io/Logging_1443/tillsynsmail/A 9930-2024 tillsynsbegäran mail.docx", "A 9930-2024")</f>
        <v/>
      </c>
      <c r="AE20">
        <f>HYPERLINK("https://klasma.github.io/Logging_1443/fåglar/A 9930-2024 prioriterade fågelarter.docx", "A 9930-2024")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46324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46324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46324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46324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46324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35526-2023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45147</v>
      </c>
      <c r="E26" s="1" t="n">
        <v>46324</v>
      </c>
      <c r="F26" t="inlineStr">
        <is>
          <t>VÄSTRA GÖTALANDS LÄN</t>
        </is>
      </c>
      <c r="G26" t="inlineStr">
        <is>
          <t>BOLLEBYGD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Vanlig padda</t>
        </is>
      </c>
      <c r="W26">
        <f>HYPERLINK("https://klasma.github.io/Logging_1443/artfynd/A 35526-2023 artfynd.xlsx", "A 35526-2023")</f>
        <v/>
      </c>
      <c r="X26">
        <f>HYPERLINK("https://klasma.github.io/Logging_1443/kartor/A 35526-2023 karta.png", "A 35526-2023")</f>
        <v/>
      </c>
      <c r="Y26">
        <f>HYPERLINK("https://klasma.github.io/Logging_1443/kartor_geotiff/A 35526-2023 georefererad karta.tif", "A 35526-2023")</f>
        <v/>
      </c>
      <c r="AA26">
        <f>HYPERLINK("https://klasma.github.io/Logging_1443/klagomål/A 35526-2023 FSC-klagomål.docx", "A 35526-2023")</f>
        <v/>
      </c>
      <c r="AB26">
        <f>HYPERLINK("https://klasma.github.io/Logging_1443/klagomålsmail/A 35526-2023 FSC-klagomål mail.docx", "A 35526-2023")</f>
        <v/>
      </c>
      <c r="AC26">
        <f>HYPERLINK("https://klasma.github.io/Logging_1443/tillsyn/A 35526-2023 tillsynsbegäran.docx", "A 35526-2023")</f>
        <v/>
      </c>
      <c r="AD26">
        <f>HYPERLINK("https://klasma.github.io/Logging_1443/tillsynsmail/A 35526-2023 tillsynsbegäran mail.docx", "A 35526-2023")</f>
        <v/>
      </c>
    </row>
    <row r="27" ht="15" customHeight="1">
      <c r="A27" t="inlineStr">
        <is>
          <t>A 7339-2025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45703</v>
      </c>
      <c r="E27" s="1" t="n">
        <v>46324</v>
      </c>
      <c r="F27" t="inlineStr">
        <is>
          <t>VÄSTRA GÖTALANDS LÄN</t>
        </is>
      </c>
      <c r="G27" t="inlineStr">
        <is>
          <t>BOLLEBYGD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7339-2025 artfynd.xlsx", "A 7339-2025")</f>
        <v/>
      </c>
      <c r="X27">
        <f>HYPERLINK("https://klasma.github.io/Logging_1443/kartor/A 7339-2025 karta.png", "A 7339-2025")</f>
        <v/>
      </c>
      <c r="Y27">
        <f>HYPERLINK("https://klasma.github.io/Logging_1443/kartor_geotiff/A 7339-2025 georefererad karta.tif", "A 7339-2025")</f>
        <v/>
      </c>
      <c r="AA27">
        <f>HYPERLINK("https://klasma.github.io/Logging_1443/klagomål/A 7339-2025 FSC-klagomål.docx", "A 7339-2025")</f>
        <v/>
      </c>
      <c r="AB27">
        <f>HYPERLINK("https://klasma.github.io/Logging_1443/klagomålsmail/A 7339-2025 FSC-klagomål mail.docx", "A 7339-2025")</f>
        <v/>
      </c>
      <c r="AC27">
        <f>HYPERLINK("https://klasma.github.io/Logging_1443/tillsyn/A 7339-2025 tillsynsbegäran.docx", "A 7339-2025")</f>
        <v/>
      </c>
      <c r="AD27">
        <f>HYPERLINK("https://klasma.github.io/Logging_1443/tillsynsmail/A 7339-2025 tillsynsbegäran mail.docx", "A 7339-2025")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46324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46324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18822-2026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46128</v>
      </c>
      <c r="E30" s="1" t="n">
        <v>46324</v>
      </c>
      <c r="F30" t="inlineStr">
        <is>
          <t>VÄSTRA GÖTALANDS LÄN</t>
        </is>
      </c>
      <c r="G30" t="inlineStr">
        <is>
          <t>BOLLEBYGD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HYPERLINK("https://klasma.github.io/Logging_1443/artfynd/A 18822-2026 artfynd.xlsx", "A 18822-2026")</f>
        <v/>
      </c>
      <c r="X30">
        <f>HYPERLINK("https://klasma.github.io/Logging_1443/kartor/A 18822-2026 karta.png", "A 18822-2026")</f>
        <v/>
      </c>
      <c r="Y30">
        <f>HYPERLINK("https://klasma.github.io/Logging_1443/kartor_geotiff/A 18822-2026 georefererad karta.tif", "A 18822-2026")</f>
        <v/>
      </c>
      <c r="AA30">
        <f>HYPERLINK("https://klasma.github.io/Logging_1443/klagomål/A 18822-2026 FSC-klagomål.docx", "A 18822-2026")</f>
        <v/>
      </c>
      <c r="AB30">
        <f>HYPERLINK("https://klasma.github.io/Logging_1443/klagomålsmail/A 18822-2026 FSC-klagomål mail.docx", "A 18822-2026")</f>
        <v/>
      </c>
      <c r="AC30">
        <f>HYPERLINK("https://klasma.github.io/Logging_1443/tillsyn/A 18822-2026 tillsynsbegäran.docx", "A 18822-2026")</f>
        <v/>
      </c>
      <c r="AD30">
        <f>HYPERLINK("https://klasma.github.io/Logging_1443/tillsynsmail/A 18822-2026 tillsynsbegäran mail.docx", "A 18822-2026")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46324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30653-2023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46324</v>
      </c>
      <c r="F32" t="inlineStr">
        <is>
          <t>VÄSTRA GÖTALANDS LÄN</t>
        </is>
      </c>
      <c r="G32" t="inlineStr">
        <is>
          <t>BOLLEBYGD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HYPERLINK("https://klasma.github.io/Logging_1443/artfynd/A 30653-2023 artfynd.xlsx", "A 30653-2023")</f>
        <v/>
      </c>
      <c r="X32">
        <f>HYPERLINK("https://klasma.github.io/Logging_1443/kartor/A 30653-2023 karta.png", "A 30653-2023")</f>
        <v/>
      </c>
      <c r="Y32">
        <f>HYPERLINK("https://klasma.github.io/Logging_1443/kartor_geotiff/A 30653-2023 georefererad karta.tif", "A 30653-2023")</f>
        <v/>
      </c>
      <c r="AA32">
        <f>HYPERLINK("https://klasma.github.io/Logging_1443/klagomål/A 30653-2023 FSC-klagomål.docx", "A 30653-2023")</f>
        <v/>
      </c>
      <c r="AB32">
        <f>HYPERLINK("https://klasma.github.io/Logging_1443/klagomålsmail/A 30653-2023 FSC-klagomål mail.docx", "A 30653-2023")</f>
        <v/>
      </c>
      <c r="AC32">
        <f>HYPERLINK("https://klasma.github.io/Logging_1443/tillsyn/A 30653-2023 tillsynsbegäran.docx", "A 30653-2023")</f>
        <v/>
      </c>
      <c r="AD32">
        <f>HYPERLINK("https://klasma.github.io/Logging_1443/tillsynsmail/A 30653-2023 tillsynsbegäran mail.docx", "A 30653-2023")</f>
        <v/>
      </c>
      <c r="AE32">
        <f>HYPERLINK("https://klasma.github.io/Logging_1443/fåglar/A 30653-2023 prioriterade fågelarter.docx", "A 30653-2023")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46324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46324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46324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46324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46324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46324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46324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30637-2023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46324</v>
      </c>
      <c r="F40" t="inlineStr">
        <is>
          <t>VÄSTRA GÖTALANDS LÄN</t>
        </is>
      </c>
      <c r="G40" t="inlineStr">
        <is>
          <t>BOLLEBYGD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46324</v>
      </c>
      <c r="F41" t="inlineStr">
        <is>
          <t>VÄSTRA GÖTALANDS LÄN</t>
        </is>
      </c>
      <c r="G41" t="inlineStr">
        <is>
          <t>BOLLEBYGD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46324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69413-2021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44531</v>
      </c>
      <c r="E43" s="1" t="n">
        <v>46324</v>
      </c>
      <c r="F43" t="inlineStr">
        <is>
          <t>VÄSTRA GÖTALANDS LÄN</t>
        </is>
      </c>
      <c r="G43" t="inlineStr">
        <is>
          <t>BOLLEBYGD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18613-2025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45763</v>
      </c>
      <c r="E44" s="1" t="n">
        <v>46324</v>
      </c>
      <c r="F44" t="inlineStr">
        <is>
          <t>VÄSTRA GÖTALANDS LÄN</t>
        </is>
      </c>
      <c r="G44" t="inlineStr">
        <is>
          <t>BOLLEBYGD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45763</v>
      </c>
      <c r="E45" s="1" t="n">
        <v>46324</v>
      </c>
      <c r="F45" t="inlineStr">
        <is>
          <t>VÄSTRA GÖTALANDS LÄN</t>
        </is>
      </c>
      <c r="G45" t="inlineStr">
        <is>
          <t>BOLLEBYGD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46324</v>
      </c>
      <c r="F46" t="inlineStr">
        <is>
          <t>VÄSTRA GÖTALANDS LÄN</t>
        </is>
      </c>
      <c r="G46" t="inlineStr">
        <is>
          <t>BOLLEBYGD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46324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46324</v>
      </c>
      <c r="F48" t="inlineStr">
        <is>
          <t>VÄSTRA GÖTALANDS LÄN</t>
        </is>
      </c>
      <c r="G48" t="inlineStr">
        <is>
          <t>BOLLEBYGD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42250-2023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46324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42256-2023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46324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45308</v>
      </c>
      <c r="E51" s="1" t="n">
        <v>46324</v>
      </c>
      <c r="F51" t="inlineStr">
        <is>
          <t>VÄSTRA GÖTALANDS LÄN</t>
        </is>
      </c>
      <c r="G51" t="inlineStr">
        <is>
          <t>BOLLEBYGD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31889-2023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45118</v>
      </c>
      <c r="E52" s="1" t="n">
        <v>46324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46324</v>
      </c>
      <c r="F53" t="inlineStr">
        <is>
          <t>VÄSTRA GÖTALANDS LÄN</t>
        </is>
      </c>
      <c r="G53" t="inlineStr">
        <is>
          <t>BOLLEBYGD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31546-2022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44775</v>
      </c>
      <c r="E54" s="1" t="n">
        <v>46324</v>
      </c>
      <c r="F54" t="inlineStr">
        <is>
          <t>VÄSTRA GÖTALANDS LÄN</t>
        </is>
      </c>
      <c r="G54" t="inlineStr">
        <is>
          <t>BOLLEBYGD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45328</v>
      </c>
      <c r="E55" s="1" t="n">
        <v>46324</v>
      </c>
      <c r="F55" t="inlineStr">
        <is>
          <t>VÄSTRA GÖTALANDS LÄN</t>
        </is>
      </c>
      <c r="G55" t="inlineStr">
        <is>
          <t>BOLLEBYGD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46324</v>
      </c>
      <c r="F56" t="inlineStr">
        <is>
          <t>VÄSTRA GÖTALANDS LÄN</t>
        </is>
      </c>
      <c r="G56" t="inlineStr">
        <is>
          <t>BOLLEBYGD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31727-2023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46324</v>
      </c>
      <c r="F57" t="inlineStr">
        <is>
          <t>VÄSTRA GÖTALANDS LÄN</t>
        </is>
      </c>
      <c r="G57" t="inlineStr">
        <is>
          <t>BOLLEBYGD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46324</v>
      </c>
      <c r="F58" t="inlineStr">
        <is>
          <t>VÄSTRA GÖTALANDS LÄN</t>
        </is>
      </c>
      <c r="G58" t="inlineStr">
        <is>
          <t>BOLLEBYGD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46324</v>
      </c>
      <c r="F59" t="inlineStr">
        <is>
          <t>VÄSTRA GÖTALANDS LÄN</t>
        </is>
      </c>
      <c r="G59" t="inlineStr">
        <is>
          <t>BOLLEBYGD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46324</v>
      </c>
      <c r="F60" t="inlineStr">
        <is>
          <t>VÄSTRA GÖTALANDS LÄN</t>
        </is>
      </c>
      <c r="G60" t="inlineStr">
        <is>
          <t>BOLLEBYGD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46324</v>
      </c>
      <c r="F61" t="inlineStr">
        <is>
          <t>VÄSTRA GÖTALANDS LÄN</t>
        </is>
      </c>
      <c r="G61" t="inlineStr">
        <is>
          <t>BOLLEBYGD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46324</v>
      </c>
      <c r="F62" t="inlineStr">
        <is>
          <t>VÄSTRA GÖTALANDS LÄN</t>
        </is>
      </c>
      <c r="G62" t="inlineStr">
        <is>
          <t>BOLLEBYGD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46324</v>
      </c>
      <c r="F63" t="inlineStr">
        <is>
          <t>VÄSTRA GÖTALANDS LÄN</t>
        </is>
      </c>
      <c r="G63" t="inlineStr">
        <is>
          <t>BOLLEBYGD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46324</v>
      </c>
      <c r="F64" t="inlineStr">
        <is>
          <t>VÄSTRA GÖTALANDS LÄN</t>
        </is>
      </c>
      <c r="G64" t="inlineStr">
        <is>
          <t>BOLLEBYGD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46324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44966</v>
      </c>
      <c r="E66" s="1" t="n">
        <v>46324</v>
      </c>
      <c r="F66" t="inlineStr">
        <is>
          <t>VÄSTRA GÖTALANDS LÄN</t>
        </is>
      </c>
      <c r="G66" t="inlineStr">
        <is>
          <t>BOLLEBYGD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46324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65143-2023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46324</v>
      </c>
      <c r="F68" t="inlineStr">
        <is>
          <t>VÄSTRA GÖTALANDS LÄN</t>
        </is>
      </c>
      <c r="G68" t="inlineStr">
        <is>
          <t>BOLLEBYGD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44754</v>
      </c>
      <c r="E69" s="1" t="n">
        <v>46324</v>
      </c>
      <c r="F69" t="inlineStr">
        <is>
          <t>VÄSTRA GÖTALANDS LÄN</t>
        </is>
      </c>
      <c r="G69" t="inlineStr">
        <is>
          <t>BOLLEBYGD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46324</v>
      </c>
      <c r="F70" t="inlineStr">
        <is>
          <t>VÄSTRA GÖTALANDS LÄN</t>
        </is>
      </c>
      <c r="G70" t="inlineStr">
        <is>
          <t>BOLLEBYGD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46324</v>
      </c>
      <c r="F71" t="inlineStr">
        <is>
          <t>VÄSTRA GÖTALANDS LÄN</t>
        </is>
      </c>
      <c r="G71" t="inlineStr">
        <is>
          <t>BOLLEBYGD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46324</v>
      </c>
      <c r="F72" t="inlineStr">
        <is>
          <t>VÄSTRA GÖTALANDS LÄN</t>
        </is>
      </c>
      <c r="G72" t="inlineStr">
        <is>
          <t>BOLLEBYGD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46324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46324</v>
      </c>
      <c r="F74" t="inlineStr">
        <is>
          <t>VÄSTRA GÖTALANDS LÄN</t>
        </is>
      </c>
      <c r="G74" t="inlineStr">
        <is>
          <t>BOLLEBYGD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46324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45836</v>
      </c>
      <c r="E76" s="1" t="n">
        <v>46324</v>
      </c>
      <c r="F76" t="inlineStr">
        <is>
          <t>VÄSTRA GÖTALANDS LÄN</t>
        </is>
      </c>
      <c r="G76" t="inlineStr">
        <is>
          <t>BOLLEBYGD</t>
        </is>
      </c>
      <c r="I76" t="n">
        <v>11.7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46324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46324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46324</v>
      </c>
      <c r="F79" t="inlineStr">
        <is>
          <t>VÄSTRA GÖTALANDS LÄN</t>
        </is>
      </c>
      <c r="G79" t="inlineStr">
        <is>
          <t>BOLLEBYGD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46324</v>
      </c>
      <c r="F80" t="inlineStr">
        <is>
          <t>VÄSTRA GÖTALANDS LÄN</t>
        </is>
      </c>
      <c r="G80" t="inlineStr">
        <is>
          <t>BOLLEBYGD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45308</v>
      </c>
      <c r="E81" s="1" t="n">
        <v>46324</v>
      </c>
      <c r="F81" t="inlineStr">
        <is>
          <t>VÄSTRA GÖTALANDS LÄN</t>
        </is>
      </c>
      <c r="G81" t="inlineStr">
        <is>
          <t>BOLLEBYGD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46324</v>
      </c>
      <c r="F82" t="inlineStr">
        <is>
          <t>VÄSTRA GÖTALANDS LÄN</t>
        </is>
      </c>
      <c r="G82" t="inlineStr">
        <is>
          <t>BOLLEBYGD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46324</v>
      </c>
      <c r="F83" t="inlineStr">
        <is>
          <t>VÄSTRA GÖTALANDS LÄN</t>
        </is>
      </c>
      <c r="G83" t="inlineStr">
        <is>
          <t>BOLLEBYGD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46324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45476</v>
      </c>
      <c r="E85" s="1" t="n">
        <v>46324</v>
      </c>
      <c r="F85" t="inlineStr">
        <is>
          <t>VÄSTRA GÖTALANDS LÄN</t>
        </is>
      </c>
      <c r="G85" t="inlineStr">
        <is>
          <t>BOLLEBYGD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46324</v>
      </c>
      <c r="F86" t="inlineStr">
        <is>
          <t>VÄSTRA GÖTALANDS LÄN</t>
        </is>
      </c>
      <c r="G86" t="inlineStr">
        <is>
          <t>BOLLEBYGD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46324</v>
      </c>
      <c r="F87" t="inlineStr">
        <is>
          <t>VÄSTRA GÖTALANDS LÄN</t>
        </is>
      </c>
      <c r="G87" t="inlineStr">
        <is>
          <t>BOLLEBYGD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46324</v>
      </c>
      <c r="F88" t="inlineStr">
        <is>
          <t>VÄSTRA GÖTALANDS LÄN</t>
        </is>
      </c>
      <c r="G88" t="inlineStr">
        <is>
          <t>BOLLEBYGD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45701</v>
      </c>
      <c r="E89" s="1" t="n">
        <v>46324</v>
      </c>
      <c r="F89" t="inlineStr">
        <is>
          <t>VÄSTRA GÖTALANDS LÄN</t>
        </is>
      </c>
      <c r="G89" t="inlineStr">
        <is>
          <t>BOLLEBYGD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45112</v>
      </c>
      <c r="E90" s="1" t="n">
        <v>46324</v>
      </c>
      <c r="F90" t="inlineStr">
        <is>
          <t>VÄSTRA GÖTALANDS LÄN</t>
        </is>
      </c>
      <c r="G90" t="inlineStr">
        <is>
          <t>BOLLEBYGD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46324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46324</v>
      </c>
      <c r="F92" t="inlineStr">
        <is>
          <t>VÄSTRA GÖTALANDS LÄN</t>
        </is>
      </c>
      <c r="G92" t="inlineStr">
        <is>
          <t>BOLLEBYGD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46324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46324</v>
      </c>
      <c r="F94" t="inlineStr">
        <is>
          <t>VÄSTRA GÖTALANDS LÄN</t>
        </is>
      </c>
      <c r="G94" t="inlineStr">
        <is>
          <t>BOLLEBYGD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46324</v>
      </c>
      <c r="F95" t="inlineStr">
        <is>
          <t>VÄSTRA GÖTALANDS LÄN</t>
        </is>
      </c>
      <c r="G95" t="inlineStr">
        <is>
          <t>BOLLEBYGD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51314-2023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45219</v>
      </c>
      <c r="E96" s="1" t="n">
        <v>46324</v>
      </c>
      <c r="F96" t="inlineStr">
        <is>
          <t>VÄSTRA GÖTALANDS LÄN</t>
        </is>
      </c>
      <c r="G96" t="inlineStr">
        <is>
          <t>BOLLEBYGD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44946</v>
      </c>
      <c r="E97" s="1" t="n">
        <v>46324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46324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46324</v>
      </c>
      <c r="F99" t="inlineStr">
        <is>
          <t>VÄSTRA GÖTALANDS LÄN</t>
        </is>
      </c>
      <c r="G99" t="inlineStr">
        <is>
          <t>BOLLEBYGD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45117</v>
      </c>
      <c r="E100" s="1" t="n">
        <v>46324</v>
      </c>
      <c r="F100" t="inlineStr">
        <is>
          <t>VÄSTRA GÖTALANDS LÄN</t>
        </is>
      </c>
      <c r="G100" t="inlineStr">
        <is>
          <t>BOLLEBYGD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46324</v>
      </c>
      <c r="F101" t="inlineStr">
        <is>
          <t>VÄSTRA GÖTALANDS LÄN</t>
        </is>
      </c>
      <c r="G101" t="inlineStr">
        <is>
          <t>BOLLEBYGD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46324</v>
      </c>
      <c r="F102" t="inlineStr">
        <is>
          <t>VÄSTRA GÖTALANDS LÄN</t>
        </is>
      </c>
      <c r="G102" t="inlineStr">
        <is>
          <t>BOLLEBYGD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46324</v>
      </c>
      <c r="F103" t="inlineStr">
        <is>
          <t>VÄSTRA GÖTALANDS LÄN</t>
        </is>
      </c>
      <c r="G103" t="inlineStr">
        <is>
          <t>BOLLEBYGD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60089-2025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45993</v>
      </c>
      <c r="E104" s="1" t="n">
        <v>46324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46324</v>
      </c>
      <c r="F105" t="inlineStr">
        <is>
          <t>VÄSTRA GÖTALANDS LÄN</t>
        </is>
      </c>
      <c r="G105" t="inlineStr">
        <is>
          <t>BOLLEBYGD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46324</v>
      </c>
      <c r="F106" t="inlineStr">
        <is>
          <t>VÄSTRA GÖTALANDS LÄN</t>
        </is>
      </c>
      <c r="G106" t="inlineStr">
        <is>
          <t>BOLLEBYGD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60092-2025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46324</v>
      </c>
      <c r="F107" t="inlineStr">
        <is>
          <t>VÄSTRA GÖTALANDS LÄN</t>
        </is>
      </c>
      <c r="G107" t="inlineStr">
        <is>
          <t>BOLLEBYGD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45992</v>
      </c>
      <c r="E108" s="1" t="n">
        <v>46324</v>
      </c>
      <c r="F108" t="inlineStr">
        <is>
          <t>VÄSTRA GÖTALANDS LÄN</t>
        </is>
      </c>
      <c r="G108" t="inlineStr">
        <is>
          <t>BOLLEBYGD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46324</v>
      </c>
      <c r="F109" t="inlineStr">
        <is>
          <t>VÄSTRA GÖTALANDS LÄN</t>
        </is>
      </c>
      <c r="G109" t="inlineStr">
        <is>
          <t>BOLLEBYGD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45994</v>
      </c>
      <c r="E110" s="1" t="n">
        <v>46324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45999</v>
      </c>
      <c r="E111" s="1" t="n">
        <v>46324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46324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22443-2023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45070</v>
      </c>
      <c r="E113" s="1" t="n">
        <v>46324</v>
      </c>
      <c r="F113" t="inlineStr">
        <is>
          <t>VÄSTRA GÖTALANDS LÄN</t>
        </is>
      </c>
      <c r="G113" t="inlineStr">
        <is>
          <t>BOLLEBYGD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44914</v>
      </c>
      <c r="E114" s="1" t="n">
        <v>46324</v>
      </c>
      <c r="F114" t="inlineStr">
        <is>
          <t>VÄSTRA GÖTALANDS LÄN</t>
        </is>
      </c>
      <c r="G114" t="inlineStr">
        <is>
          <t>BOLLEBYGD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44914</v>
      </c>
      <c r="E115" s="1" t="n">
        <v>46324</v>
      </c>
      <c r="F115" t="inlineStr">
        <is>
          <t>VÄSTRA GÖTALANDS LÄN</t>
        </is>
      </c>
      <c r="G115" t="inlineStr">
        <is>
          <t>BOLLEBYGD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47264-2024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46324</v>
      </c>
      <c r="F116" t="inlineStr">
        <is>
          <t>VÄSTRA GÖTALANDS LÄN</t>
        </is>
      </c>
      <c r="G116" t="inlineStr">
        <is>
          <t>BOLLEBYGD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46324</v>
      </c>
      <c r="F117" t="inlineStr">
        <is>
          <t>VÄSTRA GÖTALANDS LÄN</t>
        </is>
      </c>
      <c r="G117" t="inlineStr">
        <is>
          <t>BOLLEBYGD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46324</v>
      </c>
      <c r="F118" t="inlineStr">
        <is>
          <t>VÄSTRA GÖTALANDS LÄN</t>
        </is>
      </c>
      <c r="G118" t="inlineStr">
        <is>
          <t>BOLLEBYGD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21751-2022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44708</v>
      </c>
      <c r="E119" s="1" t="n">
        <v>46324</v>
      </c>
      <c r="F119" t="inlineStr">
        <is>
          <t>VÄSTRA GÖTALANDS LÄN</t>
        </is>
      </c>
      <c r="G119" t="inlineStr">
        <is>
          <t>BOLLEBYGD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46324</v>
      </c>
      <c r="F120" t="inlineStr">
        <is>
          <t>VÄSTRA GÖTALANDS LÄN</t>
        </is>
      </c>
      <c r="G120" t="inlineStr">
        <is>
          <t>BOLLEBYGD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45310</v>
      </c>
      <c r="E121" s="1" t="n">
        <v>46324</v>
      </c>
      <c r="F121" t="inlineStr">
        <is>
          <t>VÄSTRA GÖTALANDS LÄN</t>
        </is>
      </c>
      <c r="G121" t="inlineStr">
        <is>
          <t>BOLLEBYGD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45721</v>
      </c>
      <c r="E122" s="1" t="n">
        <v>46324</v>
      </c>
      <c r="F122" t="inlineStr">
        <is>
          <t>VÄSTRA GÖTALANDS LÄN</t>
        </is>
      </c>
      <c r="G122" t="inlineStr">
        <is>
          <t>BOLLEBYGD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46324</v>
      </c>
      <c r="F123" t="inlineStr">
        <is>
          <t>VÄSTRA GÖTALANDS LÄN</t>
        </is>
      </c>
      <c r="G123" t="inlineStr">
        <is>
          <t>BOLLEBYGD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46324</v>
      </c>
      <c r="F124" t="inlineStr">
        <is>
          <t>VÄSTRA GÖTALANDS LÄN</t>
        </is>
      </c>
      <c r="G124" t="inlineStr">
        <is>
          <t>BOLLEBYGD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46324</v>
      </c>
      <c r="F125" t="inlineStr">
        <is>
          <t>VÄSTRA GÖTALANDS LÄN</t>
        </is>
      </c>
      <c r="G125" t="inlineStr">
        <is>
          <t>BOLLEBYGD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46324</v>
      </c>
      <c r="F126" t="inlineStr">
        <is>
          <t>VÄSTRA GÖTALANDS LÄN</t>
        </is>
      </c>
      <c r="G126" t="inlineStr">
        <is>
          <t>BOLLEBYGD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46324</v>
      </c>
      <c r="F127" t="inlineStr">
        <is>
          <t>VÄSTRA GÖTALANDS LÄN</t>
        </is>
      </c>
      <c r="G127" t="inlineStr">
        <is>
          <t>BOLLEBYGD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46324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46324</v>
      </c>
      <c r="F129" t="inlineStr">
        <is>
          <t>VÄSTRA GÖTALANDS LÄN</t>
        </is>
      </c>
      <c r="G129" t="inlineStr">
        <is>
          <t>BOLLEBYGD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46324</v>
      </c>
      <c r="F130" t="inlineStr">
        <is>
          <t>VÄSTRA GÖTALANDS LÄN</t>
        </is>
      </c>
      <c r="G130" t="inlineStr">
        <is>
          <t>BOLLEBYGD</t>
        </is>
      </c>
      <c r="H130" t="inlineStr">
        <is>
          <t>Kyrkan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46324</v>
      </c>
      <c r="F131" t="inlineStr">
        <is>
          <t>VÄSTRA GÖTALANDS LÄN</t>
        </is>
      </c>
      <c r="G131" t="inlineStr">
        <is>
          <t>BOLLEBYGD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46324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46324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44992</v>
      </c>
      <c r="E134" s="1" t="n">
        <v>46324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46324</v>
      </c>
      <c r="F135" t="inlineStr">
        <is>
          <t>VÄSTRA GÖTALANDS LÄN</t>
        </is>
      </c>
      <c r="G135" t="inlineStr">
        <is>
          <t>BOLLEBYGD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46052</v>
      </c>
      <c r="E136" s="1" t="n">
        <v>46324</v>
      </c>
      <c r="F136" t="inlineStr">
        <is>
          <t>VÄSTRA GÖTALANDS LÄN</t>
        </is>
      </c>
      <c r="G136" t="inlineStr">
        <is>
          <t>BOLLEBYGD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46324</v>
      </c>
      <c r="F137" t="inlineStr">
        <is>
          <t>VÄSTRA GÖTALANDS LÄN</t>
        </is>
      </c>
      <c r="G137" t="inlineStr">
        <is>
          <t>BOLLEBYGD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46324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46324</v>
      </c>
      <c r="F139" t="inlineStr">
        <is>
          <t>VÄSTRA GÖTALANDS LÄN</t>
        </is>
      </c>
      <c r="G139" t="inlineStr">
        <is>
          <t>BOLLEBYGD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46324</v>
      </c>
      <c r="F140" t="inlineStr">
        <is>
          <t>VÄSTRA GÖTALANDS LÄN</t>
        </is>
      </c>
      <c r="G140" t="inlineStr">
        <is>
          <t>BOLLEBYGD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46324</v>
      </c>
      <c r="F141" t="inlineStr">
        <is>
          <t>VÄSTRA GÖTALANDS LÄN</t>
        </is>
      </c>
      <c r="G141" t="inlineStr">
        <is>
          <t>BOLLEBYGD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46324</v>
      </c>
      <c r="F142" t="inlineStr">
        <is>
          <t>VÄSTRA GÖTALANDS LÄN</t>
        </is>
      </c>
      <c r="G142" t="inlineStr">
        <is>
          <t>BOLLEBYGD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46324</v>
      </c>
      <c r="F143" t="inlineStr">
        <is>
          <t>VÄSTRA GÖTALANDS LÄN</t>
        </is>
      </c>
      <c r="G143" t="inlineStr">
        <is>
          <t>BOLLEBYGD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46324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27782-2026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46191</v>
      </c>
      <c r="E145" s="1" t="n">
        <v>46324</v>
      </c>
      <c r="F145" t="inlineStr">
        <is>
          <t>VÄSTRA GÖTALANDS LÄN</t>
        </is>
      </c>
      <c r="G145" t="inlineStr">
        <is>
          <t>BOLLEBYGD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46324</v>
      </c>
      <c r="F146" t="inlineStr">
        <is>
          <t>VÄSTRA GÖTALANDS LÄN</t>
        </is>
      </c>
      <c r="G146" t="inlineStr">
        <is>
          <t>BOLLEBYGD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46324</v>
      </c>
      <c r="F147" t="inlineStr">
        <is>
          <t>VÄSTRA GÖTALANDS LÄN</t>
        </is>
      </c>
      <c r="G147" t="inlineStr">
        <is>
          <t>BOLLEBYGD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46324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46324</v>
      </c>
      <c r="F149" t="inlineStr">
        <is>
          <t>VÄSTRA GÖTALANDS LÄN</t>
        </is>
      </c>
      <c r="G149" t="inlineStr">
        <is>
          <t>BOLLEBYGD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70708-2021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46324</v>
      </c>
      <c r="F150" t="inlineStr">
        <is>
          <t>VÄSTRA GÖTALANDS LÄN</t>
        </is>
      </c>
      <c r="G150" t="inlineStr">
        <is>
          <t>BOLLEBYGD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46324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46324</v>
      </c>
      <c r="F152" t="inlineStr">
        <is>
          <t>VÄSTRA GÖTALANDS LÄN</t>
        </is>
      </c>
      <c r="G152" t="inlineStr">
        <is>
          <t>BOLLEBYGD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46324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12503-2026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46090</v>
      </c>
      <c r="E154" s="1" t="n">
        <v>46324</v>
      </c>
      <c r="F154" t="inlineStr">
        <is>
          <t>VÄSTRA GÖTALANDS LÄN</t>
        </is>
      </c>
      <c r="G154" t="inlineStr">
        <is>
          <t>BOLLEBYGD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46324</v>
      </c>
      <c r="F155" t="inlineStr">
        <is>
          <t>VÄSTRA GÖTALANDS LÄN</t>
        </is>
      </c>
      <c r="G155" t="inlineStr">
        <is>
          <t>BOLLEBYGD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46324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12879-2026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46092</v>
      </c>
      <c r="E157" s="1" t="n">
        <v>46324</v>
      </c>
      <c r="F157" t="inlineStr">
        <is>
          <t>VÄSTRA GÖTALANDS LÄN</t>
        </is>
      </c>
      <c r="G157" t="inlineStr">
        <is>
          <t>BOLLEBYGD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46324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46093</v>
      </c>
      <c r="E159" s="1" t="n">
        <v>46324</v>
      </c>
      <c r="F159" t="inlineStr">
        <is>
          <t>VÄSTRA GÖTALANDS LÄN</t>
        </is>
      </c>
      <c r="G159" t="inlineStr">
        <is>
          <t>BOLLEBYGD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46324</v>
      </c>
      <c r="F160" t="inlineStr">
        <is>
          <t>VÄSTRA GÖTALANDS LÄN</t>
        </is>
      </c>
      <c r="G160" t="inlineStr">
        <is>
          <t>BOLLEBYGD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46324</v>
      </c>
      <c r="F161" t="inlineStr">
        <is>
          <t>VÄSTRA GÖTALANDS LÄN</t>
        </is>
      </c>
      <c r="G161" t="inlineStr">
        <is>
          <t>BOLLEBYGD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46324</v>
      </c>
      <c r="F162" t="inlineStr">
        <is>
          <t>VÄSTRA GÖTALANDS LÄN</t>
        </is>
      </c>
      <c r="G162" t="inlineStr">
        <is>
          <t>BOLLEBYGD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58011-2022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46324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46324</v>
      </c>
      <c r="F164" t="inlineStr">
        <is>
          <t>VÄSTRA GÖTALANDS LÄN</t>
        </is>
      </c>
      <c r="G164" t="inlineStr">
        <is>
          <t>BOLLEBYGD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46099</v>
      </c>
      <c r="E165" s="1" t="n">
        <v>46324</v>
      </c>
      <c r="F165" t="inlineStr">
        <is>
          <t>VÄSTRA GÖTALANDS LÄN</t>
        </is>
      </c>
      <c r="G165" t="inlineStr">
        <is>
          <t>BOLLEBYGD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46324</v>
      </c>
      <c r="F166" t="inlineStr">
        <is>
          <t>VÄSTRA GÖTALANDS LÄN</t>
        </is>
      </c>
      <c r="G166" t="inlineStr">
        <is>
          <t>BOLLEBYGD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14545-2026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46100</v>
      </c>
      <c r="E167" s="1" t="n">
        <v>46324</v>
      </c>
      <c r="F167" t="inlineStr">
        <is>
          <t>VÄSTRA GÖTALANDS LÄN</t>
        </is>
      </c>
      <c r="G167" t="inlineStr">
        <is>
          <t>BOLLEBYGD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46324</v>
      </c>
      <c r="F168" t="inlineStr">
        <is>
          <t>VÄSTRA GÖTALANDS LÄN</t>
        </is>
      </c>
      <c r="G168" t="inlineStr">
        <is>
          <t>BOLLEBYGD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46324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23330-2024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45453</v>
      </c>
      <c r="E170" s="1" t="n">
        <v>46324</v>
      </c>
      <c r="F170" t="inlineStr">
        <is>
          <t>VÄSTRA GÖTALANDS LÄN</t>
        </is>
      </c>
      <c r="G170" t="inlineStr">
        <is>
          <t>BOLLEBYGD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46324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45455</v>
      </c>
      <c r="E172" s="1" t="n">
        <v>46324</v>
      </c>
      <c r="F172" t="inlineStr">
        <is>
          <t>VÄSTRA GÖTALANDS LÄN</t>
        </is>
      </c>
      <c r="G172" t="inlineStr">
        <is>
          <t>BOLLEBYGD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46324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45572</v>
      </c>
      <c r="E174" s="1" t="n">
        <v>46324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46324</v>
      </c>
      <c r="F175" t="inlineStr">
        <is>
          <t>VÄSTRA GÖTALANDS LÄN</t>
        </is>
      </c>
      <c r="G175" t="inlineStr">
        <is>
          <t>BOLLEBYGD</t>
        </is>
      </c>
      <c r="H175" t="inlineStr">
        <is>
          <t>Kyrkan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46324</v>
      </c>
      <c r="F176" t="inlineStr">
        <is>
          <t>VÄSTRA GÖTALANDS LÄN</t>
        </is>
      </c>
      <c r="G176" t="inlineStr">
        <is>
          <t>BOLLEBYGD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46324</v>
      </c>
      <c r="F177" t="inlineStr">
        <is>
          <t>VÄSTRA GÖTALANDS LÄN</t>
        </is>
      </c>
      <c r="G177" t="inlineStr">
        <is>
          <t>BOLLEBYGD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45709</v>
      </c>
      <c r="E178" s="1" t="n">
        <v>46324</v>
      </c>
      <c r="F178" t="inlineStr">
        <is>
          <t>VÄSTRA GÖTALANDS LÄN</t>
        </is>
      </c>
      <c r="G178" t="inlineStr">
        <is>
          <t>BOLLEBYGD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46283</v>
      </c>
      <c r="E179" s="1" t="n">
        <v>46324</v>
      </c>
      <c r="F179" t="inlineStr">
        <is>
          <t>VÄSTRA GÖTALANDS LÄN</t>
        </is>
      </c>
      <c r="G179" t="inlineStr">
        <is>
          <t>BOLLEBYGD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46283</v>
      </c>
      <c r="E180" s="1" t="n">
        <v>46324</v>
      </c>
      <c r="F180" t="inlineStr">
        <is>
          <t>VÄSTRA GÖTALANDS LÄN</t>
        </is>
      </c>
      <c r="G180" t="inlineStr">
        <is>
          <t>BOLLEBYGD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45696</v>
      </c>
      <c r="E181" s="1" t="n">
        <v>46324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46324</v>
      </c>
      <c r="F182" t="inlineStr">
        <is>
          <t>VÄSTRA GÖTALANDS LÄN</t>
        </is>
      </c>
      <c r="G182" t="inlineStr">
        <is>
          <t>BOLLEBYGD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46324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46324</v>
      </c>
      <c r="F184" t="inlineStr">
        <is>
          <t>VÄSTRA GÖTALANDS LÄN</t>
        </is>
      </c>
      <c r="G184" t="inlineStr">
        <is>
          <t>BOLLEBYGD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46324</v>
      </c>
      <c r="F185" t="inlineStr">
        <is>
          <t>VÄSTRA GÖTALANDS LÄN</t>
        </is>
      </c>
      <c r="G185" t="inlineStr">
        <is>
          <t>BOLLEBYGD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45534</v>
      </c>
      <c r="E186" s="1" t="n">
        <v>46324</v>
      </c>
      <c r="F186" t="inlineStr">
        <is>
          <t>VÄSTRA GÖTALANDS LÄN</t>
        </is>
      </c>
      <c r="G186" t="inlineStr">
        <is>
          <t>BOLLEBYGD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44683</v>
      </c>
      <c r="E187" s="1" t="n">
        <v>46324</v>
      </c>
      <c r="F187" t="inlineStr">
        <is>
          <t>VÄSTRA GÖTALANDS LÄN</t>
        </is>
      </c>
      <c r="G187" t="inlineStr">
        <is>
          <t>BOLLEBYGD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46324</v>
      </c>
      <c r="F188" t="inlineStr">
        <is>
          <t>VÄSTRA GÖTALANDS LÄN</t>
        </is>
      </c>
      <c r="G188" t="inlineStr">
        <is>
          <t>BOLLEBYGD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46324</v>
      </c>
      <c r="F189" t="inlineStr">
        <is>
          <t>VÄSTRA GÖTALANDS LÄN</t>
        </is>
      </c>
      <c r="G189" t="inlineStr">
        <is>
          <t>BOLLEBYGD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46324</v>
      </c>
      <c r="F190" t="inlineStr">
        <is>
          <t>VÄSTRA GÖTALANDS LÄN</t>
        </is>
      </c>
      <c r="G190" t="inlineStr">
        <is>
          <t>BOLLEBYGD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46288</v>
      </c>
      <c r="E191" s="1" t="n">
        <v>46324</v>
      </c>
      <c r="F191" t="inlineStr">
        <is>
          <t>VÄSTRA GÖTALANDS LÄN</t>
        </is>
      </c>
      <c r="G191" t="inlineStr">
        <is>
          <t>BOLLEBYGD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46324</v>
      </c>
      <c r="F192" t="inlineStr">
        <is>
          <t>VÄSTRA GÖTALANDS LÄN</t>
        </is>
      </c>
      <c r="G192" t="inlineStr">
        <is>
          <t>BOLLEBYGD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46324</v>
      </c>
      <c r="F193" t="inlineStr">
        <is>
          <t>VÄSTRA GÖTALANDS LÄN</t>
        </is>
      </c>
      <c r="G193" t="inlineStr">
        <is>
          <t>BOLLEBYGD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46324</v>
      </c>
      <c r="F194" t="inlineStr">
        <is>
          <t>VÄSTRA GÖTALANDS LÄN</t>
        </is>
      </c>
      <c r="G194" t="inlineStr">
        <is>
          <t>BOLLEBYGD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46324</v>
      </c>
      <c r="F195" t="inlineStr">
        <is>
          <t>VÄSTRA GÖTALANDS LÄN</t>
        </is>
      </c>
      <c r="G195" t="inlineStr">
        <is>
          <t>BOLLEBYGD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46324</v>
      </c>
      <c r="F196" t="inlineStr">
        <is>
          <t>VÄSTRA GÖTALANDS LÄN</t>
        </is>
      </c>
      <c r="G196" t="inlineStr">
        <is>
          <t>BOLLEBYGD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46141</v>
      </c>
      <c r="E197" s="1" t="n">
        <v>46324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46324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46324</v>
      </c>
      <c r="F199" t="inlineStr">
        <is>
          <t>VÄSTRA GÖTALANDS LÄN</t>
        </is>
      </c>
      <c r="G199" t="inlineStr">
        <is>
          <t>BOLLEBYGD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46324</v>
      </c>
      <c r="F200" t="inlineStr">
        <is>
          <t>VÄSTRA GÖTALANDS LÄN</t>
        </is>
      </c>
      <c r="G200" t="inlineStr">
        <is>
          <t>BOLLEBYGD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46324</v>
      </c>
      <c r="F201" t="inlineStr">
        <is>
          <t>VÄSTRA GÖTALANDS LÄN</t>
        </is>
      </c>
      <c r="G201" t="inlineStr">
        <is>
          <t>BOLLEBYGD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46251</v>
      </c>
      <c r="E202" s="1" t="n">
        <v>46324</v>
      </c>
      <c r="F202" t="inlineStr">
        <is>
          <t>VÄSTRA GÖTALANDS LÄN</t>
        </is>
      </c>
      <c r="G202" t="inlineStr">
        <is>
          <t>BOLLEBYGD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46324</v>
      </c>
      <c r="F203" t="inlineStr">
        <is>
          <t>VÄSTRA GÖTALANDS LÄN</t>
        </is>
      </c>
      <c r="G203" t="inlineStr">
        <is>
          <t>BOLLEBYGD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46324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46259</v>
      </c>
      <c r="E205" s="1" t="n">
        <v>46324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46324</v>
      </c>
      <c r="F206" t="inlineStr">
        <is>
          <t>VÄSTRA GÖTALANDS LÄN</t>
        </is>
      </c>
      <c r="G206" t="inlineStr">
        <is>
          <t>BOLLEBYGD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46324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12124-2024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46324</v>
      </c>
      <c r="F208" t="inlineStr">
        <is>
          <t>VÄSTRA GÖTALANDS LÄN</t>
        </is>
      </c>
      <c r="G208" t="inlineStr">
        <is>
          <t>BOLLEBYGD</t>
        </is>
      </c>
      <c r="H208" t="inlineStr">
        <is>
          <t>Kommuner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46324</v>
      </c>
      <c r="F209" t="inlineStr">
        <is>
          <t>VÄSTRA GÖTALANDS LÄN</t>
        </is>
      </c>
      <c r="G209" t="inlineStr">
        <is>
          <t>BOLLEBYGD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46324</v>
      </c>
      <c r="F210" t="inlineStr">
        <is>
          <t>VÄSTRA GÖTALANDS LÄN</t>
        </is>
      </c>
      <c r="G210" t="inlineStr">
        <is>
          <t>BOLLEBYGD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46324</v>
      </c>
      <c r="F211" t="inlineStr">
        <is>
          <t>VÄSTRA GÖTALANDS LÄN</t>
        </is>
      </c>
      <c r="G211" t="inlineStr">
        <is>
          <t>BOLLEBYGD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45448</v>
      </c>
      <c r="E212" s="1" t="n">
        <v>46324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41910-2024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46324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46309</v>
      </c>
      <c r="E214" s="1" t="n">
        <v>46324</v>
      </c>
      <c r="F214" t="inlineStr">
        <is>
          <t>VÄSTRA GÖTALANDS LÄN</t>
        </is>
      </c>
      <c r="G214" t="inlineStr">
        <is>
          <t>BOLLEBYGD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42822-2026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46324</v>
      </c>
      <c r="F215" t="inlineStr">
        <is>
          <t>VÄSTRA GÖTALANDS LÄN</t>
        </is>
      </c>
      <c r="G215" t="inlineStr">
        <is>
          <t>BOLLEBYGD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46324</v>
      </c>
      <c r="F216" t="inlineStr">
        <is>
          <t>VÄSTRA GÖTALANDS LÄN</t>
        </is>
      </c>
      <c r="G216" t="inlineStr">
        <is>
          <t>BOLLEBYGD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45248</v>
      </c>
      <c r="E217" s="1" t="n">
        <v>46324</v>
      </c>
      <c r="F217" t="inlineStr">
        <is>
          <t>VÄSTRA GÖTALANDS LÄN</t>
        </is>
      </c>
      <c r="G217" t="inlineStr">
        <is>
          <t>BOLLEBYGD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46324</v>
      </c>
      <c r="F218" t="inlineStr">
        <is>
          <t>VÄSTRA GÖTALANDS LÄN</t>
        </is>
      </c>
      <c r="G218" t="inlineStr">
        <is>
          <t>BOLLEBYGD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46311</v>
      </c>
      <c r="E219" s="1" t="n">
        <v>46324</v>
      </c>
      <c r="F219" t="inlineStr">
        <is>
          <t>VÄSTRA GÖTALANDS LÄN</t>
        </is>
      </c>
      <c r="G219" t="inlineStr">
        <is>
          <t>BOLLEBYGD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46324</v>
      </c>
      <c r="F220" t="inlineStr">
        <is>
          <t>VÄSTRA GÖTALANDS LÄN</t>
        </is>
      </c>
      <c r="G220" t="inlineStr">
        <is>
          <t>BOLLEBYGD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46324</v>
      </c>
      <c r="F221" t="inlineStr">
        <is>
          <t>VÄSTRA GÖTALANDS LÄN</t>
        </is>
      </c>
      <c r="G221" t="inlineStr">
        <is>
          <t>BOLLEBYGD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46272</v>
      </c>
      <c r="E222" s="1" t="n">
        <v>46324</v>
      </c>
      <c r="F222" t="inlineStr">
        <is>
          <t>VÄSTRA GÖTALANDS LÄN</t>
        </is>
      </c>
      <c r="G222" t="inlineStr">
        <is>
          <t>BOLLEBYGD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17434-2026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46120</v>
      </c>
      <c r="E223" s="1" t="n">
        <v>46324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46324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64207-2021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44510</v>
      </c>
      <c r="E225" s="1" t="n">
        <v>46324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46324</v>
      </c>
      <c r="F226" t="inlineStr">
        <is>
          <t>VÄSTRA GÖTALANDS LÄN</t>
        </is>
      </c>
      <c r="G226" t="inlineStr">
        <is>
          <t>BOLLEBYGD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44726</v>
      </c>
      <c r="E227" s="1" t="n">
        <v>46324</v>
      </c>
      <c r="F227" t="inlineStr">
        <is>
          <t>VÄSTRA GÖTALANDS LÄN</t>
        </is>
      </c>
      <c r="G227" t="inlineStr">
        <is>
          <t>BOLLEBYGD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46316</v>
      </c>
      <c r="E228" s="1" t="n">
        <v>46324</v>
      </c>
      <c r="F228" t="inlineStr">
        <is>
          <t>VÄSTRA GÖTALANDS LÄN</t>
        </is>
      </c>
      <c r="G228" t="inlineStr">
        <is>
          <t>BOLLEBYGD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46324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46324</v>
      </c>
      <c r="F230" t="inlineStr">
        <is>
          <t>VÄSTRA GÖTALANDS LÄN</t>
        </is>
      </c>
      <c r="G230" t="inlineStr">
        <is>
          <t>BOLLEBYGD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45471</v>
      </c>
      <c r="E231" s="1" t="n">
        <v>46324</v>
      </c>
      <c r="F231" t="inlineStr">
        <is>
          <t>VÄSTRA GÖTALANDS LÄN</t>
        </is>
      </c>
      <c r="G231" t="inlineStr">
        <is>
          <t>BOLLEBYGD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46316</v>
      </c>
      <c r="E232" s="1" t="n">
        <v>46324</v>
      </c>
      <c r="F232" t="inlineStr">
        <is>
          <t>VÄSTRA GÖTALANDS LÄN</t>
        </is>
      </c>
      <c r="G232" t="inlineStr">
        <is>
          <t>BOLLEBYGD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46324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45162</v>
      </c>
      <c r="E234" s="1" t="n">
        <v>46324</v>
      </c>
      <c r="F234" t="inlineStr">
        <is>
          <t>VÄSTRA GÖTALANDS LÄN</t>
        </is>
      </c>
      <c r="G234" t="inlineStr">
        <is>
          <t>BOLLEBYGD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46324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46324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45276</v>
      </c>
      <c r="E237" s="1" t="n">
        <v>46324</v>
      </c>
      <c r="F237" t="inlineStr">
        <is>
          <t>VÄSTRA GÖTALANDS LÄN</t>
        </is>
      </c>
      <c r="G237" t="inlineStr">
        <is>
          <t>BOLLEBYGD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45254</v>
      </c>
      <c r="E238" s="1" t="n">
        <v>46324</v>
      </c>
      <c r="F238" t="inlineStr">
        <is>
          <t>VÄSTRA GÖTALANDS LÄN</t>
        </is>
      </c>
      <c r="G238" t="inlineStr">
        <is>
          <t>BOLLEBYGD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46324</v>
      </c>
      <c r="F239" t="inlineStr">
        <is>
          <t>VÄSTRA GÖTALANDS LÄN</t>
        </is>
      </c>
      <c r="G239" t="inlineStr">
        <is>
          <t>BOLLEBYGD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46324</v>
      </c>
      <c r="F240" t="inlineStr">
        <is>
          <t>VÄSTRA GÖTALANDS LÄN</t>
        </is>
      </c>
      <c r="G240" t="inlineStr">
        <is>
          <t>BOLLEBYGD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2751-2025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45934</v>
      </c>
      <c r="E241" s="1" t="n">
        <v>46324</v>
      </c>
      <c r="F241" t="inlineStr">
        <is>
          <t>VÄSTRA GÖTALANDS LÄN</t>
        </is>
      </c>
      <c r="G241" t="inlineStr">
        <is>
          <t>BOLLEBYGD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1396-2026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46154</v>
      </c>
      <c r="E242" s="1" t="n">
        <v>46324</v>
      </c>
      <c r="F242" t="inlineStr">
        <is>
          <t>VÄSTRA GÖTALANDS LÄN</t>
        </is>
      </c>
      <c r="G242" t="inlineStr">
        <is>
          <t>BOLLEBYGD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2143-2026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46246</v>
      </c>
      <c r="E243" s="1" t="n">
        <v>46324</v>
      </c>
      <c r="F243" t="inlineStr">
        <is>
          <t>VÄSTRA GÖTALANDS LÄN</t>
        </is>
      </c>
      <c r="G243" t="inlineStr">
        <is>
          <t>BOLLEBYGD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2026-10-29T03:13:15Z</dcterms:created>
  <dcterms:modified xmlns:dcterms="http://purl.org/dc/terms/" xmlns:xsi="http://www.w3.org/2001/XMLSchema-instance" xsi:type="dcterms:W3CDTF">2026-10-29T03:13:15Z</dcterms:modified>
</cp:coreProperties>
</file>