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X2">
        <f>HYPERLINK("https://klasma.github.io/Logging_1443/kartor_geotiff/A 52087-2025 georefererad karta.tif", "A 52087-2025")</f>
        <v/>
      </c>
      <c r="Z2">
        <f>HYPERLINK("https://klasma.github.io/Logging_1443/klagomål/A 52087-2025 FSC-klagomål.docx", "A 52087-2025")</f>
        <v/>
      </c>
      <c r="AA2">
        <f>HYPERLINK("https://klasma.github.io/Logging_1443/klagomålsmail/A 52087-2025 FSC-klagomål mail.docx", "A 52087-2025")</f>
        <v/>
      </c>
      <c r="AB2">
        <f>HYPERLINK("https://klasma.github.io/Logging_1443/tillsyn/A 52087-2025 tillsynsbegäran.docx", "A 52087-2025")</f>
        <v/>
      </c>
      <c r="AC2">
        <f>HYPERLINK("https://klasma.github.io/Logging_1443/tillsynsmail/A 52087-2025 tillsynsbegäran mail.docx", "A 52087-2025")</f>
        <v/>
      </c>
      <c r="AD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46223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X3">
        <f>HYPERLINK("https://klasma.github.io/Logging_1443/kartor_geotiff/A 50084-2025 georefererad karta.tif", "A 50084-2025")</f>
        <v/>
      </c>
      <c r="Z3">
        <f>HYPERLINK("https://klasma.github.io/Logging_1443/klagomål/A 50084-2025 FSC-klagomål.docx", "A 50084-2025")</f>
        <v/>
      </c>
      <c r="AA3">
        <f>HYPERLINK("https://klasma.github.io/Logging_1443/klagomålsmail/A 50084-2025 FSC-klagomål mail.docx", "A 50084-2025")</f>
        <v/>
      </c>
      <c r="AB3">
        <f>HYPERLINK("https://klasma.github.io/Logging_1443/tillsyn/A 50084-2025 tillsynsbegäran.docx", "A 50084-2025")</f>
        <v/>
      </c>
      <c r="AC3">
        <f>HYPERLINK("https://klasma.github.io/Logging_1443/tillsynsmail/A 50084-2025 tillsynsbegäran mail.docx", "A 50084-2025")</f>
        <v/>
      </c>
      <c r="AD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46223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s="2" t="inlineStr">
        <is>
          <t>Oxtungssvamp
Vågbandad barkbock
Tofsmes
Svartvit flugsnappare
Grönvit nattviol</t>
        </is>
      </c>
      <c r="V4">
        <f>HYPERLINK("https://klasma.github.io/Logging_1443/artfynd/A 30777-2023 artfynd.xlsx", "A 30777-2023")</f>
        <v/>
      </c>
      <c r="W4">
        <f>HYPERLINK("https://klasma.github.io/Logging_1443/kartor/A 30777-2023 karta.png", "A 30777-2023")</f>
        <v/>
      </c>
      <c r="X4">
        <f>HYPERLINK("https://klasma.github.io/Logging_1443/kartor_geotiff/A 30777-2023 georefererad karta.tif", "A 30777-2023")</f>
        <v/>
      </c>
      <c r="Z4">
        <f>HYPERLINK("https://klasma.github.io/Logging_1443/klagomål/A 30777-2023 FSC-klagomål.docx", "A 30777-2023")</f>
        <v/>
      </c>
      <c r="AA4">
        <f>HYPERLINK("https://klasma.github.io/Logging_1443/klagomålsmail/A 30777-2023 FSC-klagomål mail.docx", "A 30777-2023")</f>
        <v/>
      </c>
      <c r="AB4">
        <f>HYPERLINK("https://klasma.github.io/Logging_1443/tillsyn/A 30777-2023 tillsynsbegäran.docx", "A 30777-2023")</f>
        <v/>
      </c>
      <c r="AC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46223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X5">
        <f>HYPERLINK("https://klasma.github.io/Logging_1443/kartor_geotiff/A 12131-2024 georefererad karta.tif", "A 12131-2024")</f>
        <v/>
      </c>
      <c r="Z5">
        <f>HYPERLINK("https://klasma.github.io/Logging_1443/klagomål/A 12131-2024 FSC-klagomål.docx", "A 12131-2024")</f>
        <v/>
      </c>
      <c r="AA5">
        <f>HYPERLINK("https://klasma.github.io/Logging_1443/klagomålsmail/A 12131-2024 FSC-klagomål mail.docx", "A 12131-2024")</f>
        <v/>
      </c>
      <c r="AB5">
        <f>HYPERLINK("https://klasma.github.io/Logging_1443/tillsyn/A 12131-2024 tillsynsbegäran.docx", "A 12131-2024")</f>
        <v/>
      </c>
      <c r="AC5">
        <f>HYPERLINK("https://klasma.github.io/Logging_1443/tillsynsmail/A 12131-2024 tillsynsbegäran mail.docx", "A 12131-2024")</f>
        <v/>
      </c>
      <c r="AD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46223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X6">
        <f>HYPERLINK("https://klasma.github.io/Logging_1443/kartor_geotiff/A 50011-2023 georefererad karta.tif", "A 50011-2023")</f>
        <v/>
      </c>
      <c r="Z6">
        <f>HYPERLINK("https://klasma.github.io/Logging_1443/klagomål/A 50011-2023 FSC-klagomål.docx", "A 50011-2023")</f>
        <v/>
      </c>
      <c r="AA6">
        <f>HYPERLINK("https://klasma.github.io/Logging_1443/klagomålsmail/A 50011-2023 FSC-klagomål mail.docx", "A 50011-2023")</f>
        <v/>
      </c>
      <c r="AB6">
        <f>HYPERLINK("https://klasma.github.io/Logging_1443/tillsyn/A 50011-2023 tillsynsbegäran.docx", "A 50011-2023")</f>
        <v/>
      </c>
      <c r="AC6">
        <f>HYPERLINK("https://klasma.github.io/Logging_1443/tillsynsmail/A 50011-2023 tillsynsbegäran mail.docx", "A 50011-2023")</f>
        <v/>
      </c>
      <c r="AD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46223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s="2" t="inlineStr">
        <is>
          <t>Lunglav
Grönvit nattviol
Revlummer</t>
        </is>
      </c>
      <c r="V7">
        <f>HYPERLINK("https://klasma.github.io/Logging_1443/artfynd/A 30785-2023 artfynd.xlsx", "A 30785-2023")</f>
        <v/>
      </c>
      <c r="W7">
        <f>HYPERLINK("https://klasma.github.io/Logging_1443/kartor/A 30785-2023 karta.png", "A 30785-2023")</f>
        <v/>
      </c>
      <c r="X7">
        <f>HYPERLINK("https://klasma.github.io/Logging_1443/kartor_geotiff/A 30785-2023 georefererad karta.tif", "A 30785-2023")</f>
        <v/>
      </c>
      <c r="Z7">
        <f>HYPERLINK("https://klasma.github.io/Logging_1443/klagomål/A 30785-2023 FSC-klagomål.docx", "A 30785-2023")</f>
        <v/>
      </c>
      <c r="AA7">
        <f>HYPERLINK("https://klasma.github.io/Logging_1443/klagomålsmail/A 30785-2023 FSC-klagomål mail.docx", "A 30785-2023")</f>
        <v/>
      </c>
      <c r="AB7">
        <f>HYPERLINK("https://klasma.github.io/Logging_1443/tillsyn/A 30785-2023 tillsynsbegäran.docx", "A 30785-2023")</f>
        <v/>
      </c>
      <c r="AC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46223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X8">
        <f>HYPERLINK("https://klasma.github.io/Logging_1443/kartor_geotiff/A 31728-2023 georefererad karta.tif", "A 31728-2023")</f>
        <v/>
      </c>
      <c r="Z8">
        <f>HYPERLINK("https://klasma.github.io/Logging_1443/klagomål/A 31728-2023 FSC-klagomål.docx", "A 31728-2023")</f>
        <v/>
      </c>
      <c r="AA8">
        <f>HYPERLINK("https://klasma.github.io/Logging_1443/klagomålsmail/A 31728-2023 FSC-klagomål mail.docx", "A 31728-2023")</f>
        <v/>
      </c>
      <c r="AB8">
        <f>HYPERLINK("https://klasma.github.io/Logging_1443/tillsyn/A 31728-2023 tillsynsbegäran.docx", "A 31728-2023")</f>
        <v/>
      </c>
      <c r="AC8">
        <f>HYPERLINK("https://klasma.github.io/Logging_1443/tillsynsmail/A 31728-2023 tillsynsbegäran mail.docx", "A 31728-2023")</f>
        <v/>
      </c>
      <c r="AD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46223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s="2" t="inlineStr">
        <is>
          <t>Knärot
Järnsparv
Spillkråka</t>
        </is>
      </c>
      <c r="V9">
        <f>HYPERLINK("https://klasma.github.io/Logging_1443/artfynd/A 30671-2023 artfynd.xlsx", "A 30671-2023")</f>
        <v/>
      </c>
      <c r="W9">
        <f>HYPERLINK("https://klasma.github.io/Logging_1443/kartor/A 30671-2023 karta.png", "A 30671-2023")</f>
        <v/>
      </c>
      <c r="X9">
        <f>HYPERLINK("https://klasma.github.io/Logging_1443/kartor_geotiff/A 30671-2023 georefererad karta.tif", "A 30671-2023")</f>
        <v/>
      </c>
      <c r="Y9">
        <f>HYPERLINK("https://klasma.github.io/Logging_1443/knärot/A 30671-2023 karta knärot.png", "A 30671-2023")</f>
        <v/>
      </c>
      <c r="Z9">
        <f>HYPERLINK("https://klasma.github.io/Logging_1443/klagomål/A 30671-2023 FSC-klagomål.docx", "A 30671-2023")</f>
        <v/>
      </c>
      <c r="AA9">
        <f>HYPERLINK("https://klasma.github.io/Logging_1443/klagomålsmail/A 30671-2023 FSC-klagomål mail.docx", "A 30671-2023")</f>
        <v/>
      </c>
      <c r="AB9">
        <f>HYPERLINK("https://klasma.github.io/Logging_1443/tillsyn/A 30671-2023 tillsynsbegäran.docx", "A 30671-2023")</f>
        <v/>
      </c>
      <c r="AC9">
        <f>HYPERLINK("https://klasma.github.io/Logging_1443/tillsynsmail/A 30671-2023 tillsynsbegäran mail.docx", "A 30671-2023")</f>
        <v/>
      </c>
      <c r="AD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46223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Klippfrullania
Trädporella
Fläcknycklar</t>
        </is>
      </c>
      <c r="V10">
        <f>HYPERLINK("https://klasma.github.io/Logging_1443/artfynd/A 30655-2023 artfynd.xlsx", "A 30655-2023")</f>
        <v/>
      </c>
      <c r="W10">
        <f>HYPERLINK("https://klasma.github.io/Logging_1443/kartor/A 30655-2023 karta.png", "A 30655-2023")</f>
        <v/>
      </c>
      <c r="X10">
        <f>HYPERLINK("https://klasma.github.io/Logging_1443/kartor_geotiff/A 30655-2023 georefererad karta.tif", "A 30655-2023")</f>
        <v/>
      </c>
      <c r="Z10">
        <f>HYPERLINK("https://klasma.github.io/Logging_1443/klagomål/A 30655-2023 FSC-klagomål.docx", "A 30655-2023")</f>
        <v/>
      </c>
      <c r="AA10">
        <f>HYPERLINK("https://klasma.github.io/Logging_1443/klagomålsmail/A 30655-2023 FSC-klagomål mail.docx", "A 30655-2023")</f>
        <v/>
      </c>
      <c r="AB10">
        <f>HYPERLINK("https://klasma.github.io/Logging_1443/tillsyn/A 30655-2023 tillsynsbegäran.docx", "A 30655-2023")</f>
        <v/>
      </c>
      <c r="AC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46223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Större träfjäril
Spillkråka</t>
        </is>
      </c>
      <c r="V11">
        <f>HYPERLINK("https://klasma.github.io/Logging_1443/artfynd/A 9930-2024 artfynd.xlsx", "A 9930-2024")</f>
        <v/>
      </c>
      <c r="W11">
        <f>HYPERLINK("https://klasma.github.io/Logging_1443/kartor/A 9930-2024 karta.png", "A 9930-2024")</f>
        <v/>
      </c>
      <c r="X11">
        <f>HYPERLINK("https://klasma.github.io/Logging_1443/kartor_geotiff/A 9930-2024 georefererad karta.tif", "A 9930-2024")</f>
        <v/>
      </c>
      <c r="Z11">
        <f>HYPERLINK("https://klasma.github.io/Logging_1443/klagomål/A 9930-2024 FSC-klagomål.docx", "A 9930-2024")</f>
        <v/>
      </c>
      <c r="AA11">
        <f>HYPERLINK("https://klasma.github.io/Logging_1443/klagomålsmail/A 9930-2024 FSC-klagomål mail.docx", "A 9930-2024")</f>
        <v/>
      </c>
      <c r="AB11">
        <f>HYPERLINK("https://klasma.github.io/Logging_1443/tillsyn/A 9930-2024 tillsynsbegäran.docx", "A 9930-2024")</f>
        <v/>
      </c>
      <c r="AC11">
        <f>HYPERLINK("https://klasma.github.io/Logging_1443/tillsynsmail/A 9930-2024 tillsynsbegäran mail.docx", "A 9930-2024")</f>
        <v/>
      </c>
      <c r="AD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46223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s="2" t="inlineStr">
        <is>
          <t>Spillkråka
Grönsiska</t>
        </is>
      </c>
      <c r="V12">
        <f>HYPERLINK("https://klasma.github.io/Logging_1443/artfynd/A 31714-2023 artfynd.xlsx", "A 31714-2023")</f>
        <v/>
      </c>
      <c r="W12">
        <f>HYPERLINK("https://klasma.github.io/Logging_1443/kartor/A 31714-2023 karta.png", "A 31714-2023")</f>
        <v/>
      </c>
      <c r="X12">
        <f>HYPERLINK("https://klasma.github.io/Logging_1443/kartor_geotiff/A 31714-2023 georefererad karta.tif", "A 31714-2023")</f>
        <v/>
      </c>
      <c r="Z12">
        <f>HYPERLINK("https://klasma.github.io/Logging_1443/klagomål/A 31714-2023 FSC-klagomål.docx", "A 31714-2023")</f>
        <v/>
      </c>
      <c r="AA12">
        <f>HYPERLINK("https://klasma.github.io/Logging_1443/klagomålsmail/A 31714-2023 FSC-klagomål mail.docx", "A 31714-2023")</f>
        <v/>
      </c>
      <c r="AB12">
        <f>HYPERLINK("https://klasma.github.io/Logging_1443/tillsyn/A 31714-2023 tillsynsbegäran.docx", "A 31714-2023")</f>
        <v/>
      </c>
      <c r="AC12">
        <f>HYPERLINK("https://klasma.github.io/Logging_1443/tillsynsmail/A 31714-2023 tillsynsbegäran mail.docx", "A 31714-2023")</f>
        <v/>
      </c>
      <c r="AD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46223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Fläcknycklar</t>
        </is>
      </c>
      <c r="V13">
        <f>HYPERLINK("https://klasma.github.io/Logging_1443/artfynd/A 13115-2026 artfynd.xlsx", "A 13115-2026")</f>
        <v/>
      </c>
      <c r="W13">
        <f>HYPERLINK("https://klasma.github.io/Logging_1443/kartor/A 13115-2026 karta.png", "A 13115-2026")</f>
        <v/>
      </c>
      <c r="X13">
        <f>HYPERLINK("https://klasma.github.io/Logging_1443/kartor_geotiff/A 13115-2026 georefererad karta.tif", "A 13115-2026")</f>
        <v/>
      </c>
      <c r="Z13">
        <f>HYPERLINK("https://klasma.github.io/Logging_1443/klagomål/A 13115-2026 FSC-klagomål.docx", "A 13115-2026")</f>
        <v/>
      </c>
      <c r="AA13">
        <f>HYPERLINK("https://klasma.github.io/Logging_1443/klagomålsmail/A 13115-2026 FSC-klagomål mail.docx", "A 13115-2026")</f>
        <v/>
      </c>
      <c r="AB13">
        <f>HYPERLINK("https://klasma.github.io/Logging_1443/tillsyn/A 13115-2026 tillsynsbegäran.docx", "A 13115-2026")</f>
        <v/>
      </c>
      <c r="AC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46223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Talltita
Tjäder</t>
        </is>
      </c>
      <c r="V14">
        <f>HYPERLINK("https://klasma.github.io/Logging_1443/artfynd/A 30666-2023 artfynd.xlsx", "A 30666-2023")</f>
        <v/>
      </c>
      <c r="W14">
        <f>HYPERLINK("https://klasma.github.io/Logging_1443/kartor/A 30666-2023 karta.png", "A 30666-2023")</f>
        <v/>
      </c>
      <c r="X14">
        <f>HYPERLINK("https://klasma.github.io/Logging_1443/kartor_geotiff/A 30666-2023 georefererad karta.tif", "A 30666-2023")</f>
        <v/>
      </c>
      <c r="Z14">
        <f>HYPERLINK("https://klasma.github.io/Logging_1443/klagomål/A 30666-2023 FSC-klagomål.docx", "A 30666-2023")</f>
        <v/>
      </c>
      <c r="AA14">
        <f>HYPERLINK("https://klasma.github.io/Logging_1443/klagomålsmail/A 30666-2023 FSC-klagomål mail.docx", "A 30666-2023")</f>
        <v/>
      </c>
      <c r="AB14">
        <f>HYPERLINK("https://klasma.github.io/Logging_1443/tillsyn/A 30666-2023 tillsynsbegäran.docx", "A 30666-2023")</f>
        <v/>
      </c>
      <c r="AC14">
        <f>HYPERLINK("https://klasma.github.io/Logging_1443/tillsynsmail/A 30666-2023 tillsynsbegäran mail.docx", "A 30666-2023")</f>
        <v/>
      </c>
      <c r="AD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46223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Kungsfågel
Ärtsångare</t>
        </is>
      </c>
      <c r="V15">
        <f>HYPERLINK("https://klasma.github.io/Logging_1443/artfynd/A 30792-2023 artfynd.xlsx", "A 30792-2023")</f>
        <v/>
      </c>
      <c r="W15">
        <f>HYPERLINK("https://klasma.github.io/Logging_1443/kartor/A 30792-2023 karta.png", "A 30792-2023")</f>
        <v/>
      </c>
      <c r="X15">
        <f>HYPERLINK("https://klasma.github.io/Logging_1443/kartor_geotiff/A 30792-2023 georefererad karta.tif", "A 30792-2023")</f>
        <v/>
      </c>
      <c r="Z15">
        <f>HYPERLINK("https://klasma.github.io/Logging_1443/klagomål/A 30792-2023 FSC-klagomål.docx", "A 30792-2023")</f>
        <v/>
      </c>
      <c r="AA15">
        <f>HYPERLINK("https://klasma.github.io/Logging_1443/klagomålsmail/A 30792-2023 FSC-klagomål mail.docx", "A 30792-2023")</f>
        <v/>
      </c>
      <c r="AB15">
        <f>HYPERLINK("https://klasma.github.io/Logging_1443/tillsyn/A 30792-2023 tillsynsbegäran.docx", "A 30792-2023")</f>
        <v/>
      </c>
      <c r="AC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46223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s="2" t="inlineStr">
        <is>
          <t>Spillkråka
Revlummer</t>
        </is>
      </c>
      <c r="V16">
        <f>HYPERLINK("https://klasma.github.io/Logging_1443/artfynd/A 60380-2025 artfynd.xlsx", "A 60380-2025")</f>
        <v/>
      </c>
      <c r="W16">
        <f>HYPERLINK("https://klasma.github.io/Logging_1443/kartor/A 60380-2025 karta.png", "A 60380-2025")</f>
        <v/>
      </c>
      <c r="X16">
        <f>HYPERLINK("https://klasma.github.io/Logging_1443/kartor_geotiff/A 60380-2025 georefererad karta.tif", "A 60380-2025")</f>
        <v/>
      </c>
      <c r="Z16">
        <f>HYPERLINK("https://klasma.github.io/Logging_1443/klagomål/A 60380-2025 FSC-klagomål.docx", "A 60380-2025")</f>
        <v/>
      </c>
      <c r="AA16">
        <f>HYPERLINK("https://klasma.github.io/Logging_1443/klagomålsmail/A 60380-2025 FSC-klagomål mail.docx", "A 60380-2025")</f>
        <v/>
      </c>
      <c r="AB16">
        <f>HYPERLINK("https://klasma.github.io/Logging_1443/tillsyn/A 60380-2025 tillsynsbegäran.docx", "A 60380-2025")</f>
        <v/>
      </c>
      <c r="AC16">
        <f>HYPERLINK("https://klasma.github.io/Logging_1443/tillsynsmail/A 60380-2025 tillsynsbegäran mail.docx", "A 60380-2025")</f>
        <v/>
      </c>
      <c r="AD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46223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Tofsmes
Grönsiska</t>
        </is>
      </c>
      <c r="V17">
        <f>HYPERLINK("https://klasma.github.io/Logging_1443/artfynd/A 26670-2026 artfynd.xlsx", "A 26670-2026")</f>
        <v/>
      </c>
      <c r="W17">
        <f>HYPERLINK("https://klasma.github.io/Logging_1443/kartor/A 26670-2026 karta.png", "A 26670-2026")</f>
        <v/>
      </c>
      <c r="X17">
        <f>HYPERLINK("https://klasma.github.io/Logging_1443/kartor_geotiff/A 26670-2026 georefererad karta.tif", "A 26670-2026")</f>
        <v/>
      </c>
      <c r="Z17">
        <f>HYPERLINK("https://klasma.github.io/Logging_1443/klagomål/A 26670-2026 FSC-klagomål.docx", "A 26670-2026")</f>
        <v/>
      </c>
      <c r="AA17">
        <f>HYPERLINK("https://klasma.github.io/Logging_1443/klagomålsmail/A 26670-2026 FSC-klagomål mail.docx", "A 26670-2026")</f>
        <v/>
      </c>
      <c r="AB17">
        <f>HYPERLINK("https://klasma.github.io/Logging_1443/tillsyn/A 26670-2026 tillsynsbegäran.docx", "A 26670-2026")</f>
        <v/>
      </c>
      <c r="AC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46223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Vågbandad barkbock
Spillkråka</t>
        </is>
      </c>
      <c r="V18">
        <f>HYPERLINK("https://klasma.github.io/Logging_1443/artfynd/A 30763-2023 artfynd.xlsx", "A 30763-2023")</f>
        <v/>
      </c>
      <c r="W18">
        <f>HYPERLINK("https://klasma.github.io/Logging_1443/kartor/A 30763-2023 karta.png", "A 30763-2023")</f>
        <v/>
      </c>
      <c r="X18">
        <f>HYPERLINK("https://klasma.github.io/Logging_1443/kartor_geotiff/A 30763-2023 georefererad karta.tif", "A 30763-2023")</f>
        <v/>
      </c>
      <c r="Z18">
        <f>HYPERLINK("https://klasma.github.io/Logging_1443/klagomål/A 30763-2023 FSC-klagomål.docx", "A 30763-2023")</f>
        <v/>
      </c>
      <c r="AA18">
        <f>HYPERLINK("https://klasma.github.io/Logging_1443/klagomålsmail/A 30763-2023 FSC-klagomål mail.docx", "A 30763-2023")</f>
        <v/>
      </c>
      <c r="AB18">
        <f>HYPERLINK("https://klasma.github.io/Logging_1443/tillsyn/A 30763-2023 tillsynsbegäran.docx", "A 30763-2023")</f>
        <v/>
      </c>
      <c r="AC18">
        <f>HYPERLINK("https://klasma.github.io/Logging_1443/tillsynsmail/A 30763-2023 tillsynsbegäran mail.docx", "A 30763-2023")</f>
        <v/>
      </c>
      <c r="AD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46223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padda</t>
        </is>
      </c>
      <c r="V19">
        <f>HYPERLINK("https://klasma.github.io/Logging_1443/artfynd/A 35526-2023 artfynd.xlsx", "A 35526-2023")</f>
        <v/>
      </c>
      <c r="W19">
        <f>HYPERLINK("https://klasma.github.io/Logging_1443/kartor/A 35526-2023 karta.png", "A 35526-2023")</f>
        <v/>
      </c>
      <c r="X19">
        <f>HYPERLINK("https://klasma.github.io/Logging_1443/kartor_geotiff/A 35526-2023 georefererad karta.tif", "A 35526-2023")</f>
        <v/>
      </c>
      <c r="Z19">
        <f>HYPERLINK("https://klasma.github.io/Logging_1443/klagomål/A 35526-2023 FSC-klagomål.docx", "A 35526-2023")</f>
        <v/>
      </c>
      <c r="AA19">
        <f>HYPERLINK("https://klasma.github.io/Logging_1443/klagomålsmail/A 35526-2023 FSC-klagomål mail.docx", "A 35526-2023")</f>
        <v/>
      </c>
      <c r="AB19">
        <f>HYPERLINK("https://klasma.github.io/Logging_1443/tillsyn/A 35526-2023 tillsynsbegäran.docx", "A 35526-2023")</f>
        <v/>
      </c>
      <c r="AC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46223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Fällmossa</t>
        </is>
      </c>
      <c r="V20">
        <f>HYPERLINK("https://klasma.github.io/Logging_1443/artfynd/A 32503-2025 artfynd.xlsx", "A 32503-2025")</f>
        <v/>
      </c>
      <c r="W20">
        <f>HYPERLINK("https://klasma.github.io/Logging_1443/kartor/A 32503-2025 karta.png", "A 32503-2025")</f>
        <v/>
      </c>
      <c r="X20">
        <f>HYPERLINK("https://klasma.github.io/Logging_1443/kartor_geotiff/A 32503-2025 georefererad karta.tif", "A 32503-2025")</f>
        <v/>
      </c>
      <c r="Z20">
        <f>HYPERLINK("https://klasma.github.io/Logging_1443/klagomål/A 32503-2025 FSC-klagomål.docx", "A 32503-2025")</f>
        <v/>
      </c>
      <c r="AA20">
        <f>HYPERLINK("https://klasma.github.io/Logging_1443/klagomålsmail/A 32503-2025 FSC-klagomål mail.docx", "A 32503-2025")</f>
        <v/>
      </c>
      <c r="AB20">
        <f>HYPERLINK("https://klasma.github.io/Logging_1443/tillsyn/A 32503-2025 tillsynsbegäran.docx", "A 32503-2025")</f>
        <v/>
      </c>
      <c r="AC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46223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Havstulpanlav</t>
        </is>
      </c>
      <c r="V21">
        <f>HYPERLINK("https://klasma.github.io/Logging_1443/artfynd/A 30745-2023 artfynd.xlsx", "A 30745-2023")</f>
        <v/>
      </c>
      <c r="W21">
        <f>HYPERLINK("https://klasma.github.io/Logging_1443/kartor/A 30745-2023 karta.png", "A 30745-2023")</f>
        <v/>
      </c>
      <c r="X21">
        <f>HYPERLINK("https://klasma.github.io/Logging_1443/kartor_geotiff/A 30745-2023 georefererad karta.tif", "A 30745-2023")</f>
        <v/>
      </c>
      <c r="Z21">
        <f>HYPERLINK("https://klasma.github.io/Logging_1443/klagomål/A 30745-2023 FSC-klagomål.docx", "A 30745-2023")</f>
        <v/>
      </c>
      <c r="AA21">
        <f>HYPERLINK("https://klasma.github.io/Logging_1443/klagomålsmail/A 30745-2023 FSC-klagomål mail.docx", "A 30745-2023")</f>
        <v/>
      </c>
      <c r="AB21">
        <f>HYPERLINK("https://klasma.github.io/Logging_1443/tillsyn/A 30745-2023 tillsynsbegäran.docx", "A 30745-2023")</f>
        <v/>
      </c>
      <c r="AC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46223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Bäckbräsma</t>
        </is>
      </c>
      <c r="V22">
        <f>HYPERLINK("https://klasma.github.io/Logging_1443/artfynd/A 7339-2025 artfynd.xlsx", "A 7339-2025")</f>
        <v/>
      </c>
      <c r="W22">
        <f>HYPERLINK("https://klasma.github.io/Logging_1443/kartor/A 7339-2025 karta.png", "A 7339-2025")</f>
        <v/>
      </c>
      <c r="X22">
        <f>HYPERLINK("https://klasma.github.io/Logging_1443/kartor_geotiff/A 7339-2025 georefererad karta.tif", "A 7339-2025")</f>
        <v/>
      </c>
      <c r="Z22">
        <f>HYPERLINK("https://klasma.github.io/Logging_1443/klagomål/A 7339-2025 FSC-klagomål.docx", "A 7339-2025")</f>
        <v/>
      </c>
      <c r="AA22">
        <f>HYPERLINK("https://klasma.github.io/Logging_1443/klagomålsmail/A 7339-2025 FSC-klagomål mail.docx", "A 7339-2025")</f>
        <v/>
      </c>
      <c r="AB22">
        <f>HYPERLINK("https://klasma.github.io/Logging_1443/tillsyn/A 7339-2025 tillsynsbegäran.docx", "A 7339-2025")</f>
        <v/>
      </c>
      <c r="AC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HYPERLINK("https://klasma.github.io/Logging_1443/artfynd/A 30653-2023 artfynd.xlsx", "A 30653-2023")</f>
        <v/>
      </c>
      <c r="W23">
        <f>HYPERLINK("https://klasma.github.io/Logging_1443/kartor/A 30653-2023 karta.png", "A 30653-2023")</f>
        <v/>
      </c>
      <c r="X23">
        <f>HYPERLINK("https://klasma.github.io/Logging_1443/kartor_geotiff/A 30653-2023 georefererad karta.tif", "A 30653-2023")</f>
        <v/>
      </c>
      <c r="Z23">
        <f>HYPERLINK("https://klasma.github.io/Logging_1443/klagomål/A 30653-2023 FSC-klagomål.docx", "A 30653-2023")</f>
        <v/>
      </c>
      <c r="AA23">
        <f>HYPERLINK("https://klasma.github.io/Logging_1443/klagomålsmail/A 30653-2023 FSC-klagomål mail.docx", "A 30653-2023")</f>
        <v/>
      </c>
      <c r="AB23">
        <f>HYPERLINK("https://klasma.github.io/Logging_1443/tillsyn/A 30653-2023 tillsynsbegäran.docx", "A 30653-2023")</f>
        <v/>
      </c>
      <c r="AC23">
        <f>HYPERLINK("https://klasma.github.io/Logging_1443/tillsynsmail/A 30653-2023 tillsynsbegäran mail.docx", "A 30653-2023")</f>
        <v/>
      </c>
      <c r="AD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46223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Svartvit flugsnappare</t>
        </is>
      </c>
      <c r="V24">
        <f>HYPERLINK("https://klasma.github.io/Logging_1443/artfynd/A 30662-2023 artfynd.xlsx", "A 30662-2023")</f>
        <v/>
      </c>
      <c r="W24">
        <f>HYPERLINK("https://klasma.github.io/Logging_1443/kartor/A 30662-2023 karta.png", "A 30662-2023")</f>
        <v/>
      </c>
      <c r="X24">
        <f>HYPERLINK("https://klasma.github.io/Logging_1443/kartor_geotiff/A 30662-2023 georefererad karta.tif", "A 30662-2023")</f>
        <v/>
      </c>
      <c r="Z24">
        <f>HYPERLINK("https://klasma.github.io/Logging_1443/klagomål/A 30662-2023 FSC-klagomål.docx", "A 30662-2023")</f>
        <v/>
      </c>
      <c r="AA24">
        <f>HYPERLINK("https://klasma.github.io/Logging_1443/klagomålsmail/A 30662-2023 FSC-klagomål mail.docx", "A 30662-2023")</f>
        <v/>
      </c>
      <c r="AB24">
        <f>HYPERLINK("https://klasma.github.io/Logging_1443/tillsyn/A 30662-2023 tillsynsbegäran.docx", "A 30662-2023")</f>
        <v/>
      </c>
      <c r="AC24">
        <f>HYPERLINK("https://klasma.github.io/Logging_1443/tillsynsmail/A 30662-2023 tillsynsbegäran mail.docx", "A 30662-2023")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46223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HYPERLINK("https://klasma.github.io/Logging_1443/artfynd/A 18822-2026 artfynd.xlsx", "A 18822-2026")</f>
        <v/>
      </c>
      <c r="W25">
        <f>HYPERLINK("https://klasma.github.io/Logging_1443/kartor/A 18822-2026 karta.png", "A 18822-2026")</f>
        <v/>
      </c>
      <c r="X25">
        <f>HYPERLINK("https://klasma.github.io/Logging_1443/kartor_geotiff/A 18822-2026 georefererad karta.tif", "A 18822-2026")</f>
        <v/>
      </c>
      <c r="Z25">
        <f>HYPERLINK("https://klasma.github.io/Logging_1443/klagomål/A 18822-2026 FSC-klagomål.docx", "A 18822-2026")</f>
        <v/>
      </c>
      <c r="AA25">
        <f>HYPERLINK("https://klasma.github.io/Logging_1443/klagomålsmail/A 18822-2026 FSC-klagomål mail.docx", "A 18822-2026")</f>
        <v/>
      </c>
      <c r="AB25">
        <f>HYPERLINK("https://klasma.github.io/Logging_1443/tillsyn/A 18822-2026 tillsynsbegäran.docx", "A 18822-2026")</f>
        <v/>
      </c>
      <c r="AC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46223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Havstulpanlav</t>
        </is>
      </c>
      <c r="V26">
        <f>HYPERLINK("https://klasma.github.io/Logging_1443/artfynd/A 30754-2023 artfynd.xlsx", "A 30754-2023")</f>
        <v/>
      </c>
      <c r="W26">
        <f>HYPERLINK("https://klasma.github.io/Logging_1443/kartor/A 30754-2023 karta.png", "A 30754-2023")</f>
        <v/>
      </c>
      <c r="X26">
        <f>HYPERLINK("https://klasma.github.io/Logging_1443/kartor_geotiff/A 30754-2023 georefererad karta.tif", "A 30754-2023")</f>
        <v/>
      </c>
      <c r="Z26">
        <f>HYPERLINK("https://klasma.github.io/Logging_1443/klagomål/A 30754-2023 FSC-klagomål.docx", "A 30754-2023")</f>
        <v/>
      </c>
      <c r="AA26">
        <f>HYPERLINK("https://klasma.github.io/Logging_1443/klagomålsmail/A 30754-2023 FSC-klagomål mail.docx", "A 30754-2023")</f>
        <v/>
      </c>
      <c r="AB26">
        <f>HYPERLINK("https://klasma.github.io/Logging_1443/tillsyn/A 30754-2023 tillsynsbegäran.docx", "A 30754-2023")</f>
        <v/>
      </c>
      <c r="AC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46223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Spillkråka</t>
        </is>
      </c>
      <c r="V27">
        <f>HYPERLINK("https://klasma.github.io/Logging_1443/artfynd/A 31742-2023 artfynd.xlsx", "A 31742-2023")</f>
        <v/>
      </c>
      <c r="W27">
        <f>HYPERLINK("https://klasma.github.io/Logging_1443/kartor/A 31742-2023 karta.png", "A 31742-2023")</f>
        <v/>
      </c>
      <c r="X27">
        <f>HYPERLINK("https://klasma.github.io/Logging_1443/kartor_geotiff/A 31742-2023 georefererad karta.tif", "A 31742-2023")</f>
        <v/>
      </c>
      <c r="Z27">
        <f>HYPERLINK("https://klasma.github.io/Logging_1443/klagomål/A 31742-2023 FSC-klagomål.docx", "A 31742-2023")</f>
        <v/>
      </c>
      <c r="AA27">
        <f>HYPERLINK("https://klasma.github.io/Logging_1443/klagomålsmail/A 31742-2023 FSC-klagomål mail.docx", "A 31742-2023")</f>
        <v/>
      </c>
      <c r="AB27">
        <f>HYPERLINK("https://klasma.github.io/Logging_1443/tillsyn/A 31742-2023 tillsynsbegäran.docx", "A 31742-2023")</f>
        <v/>
      </c>
      <c r="AC27">
        <f>HYPERLINK("https://klasma.github.io/Logging_1443/tillsynsmail/A 31742-2023 tillsynsbegäran mail.docx", "A 31742-2023")</f>
        <v/>
      </c>
      <c r="AD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46223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HYPERLINK("https://klasma.github.io/Logging_1443/artfynd/A 35491-2023 artfynd.xlsx", "A 35491-2023")</f>
        <v/>
      </c>
      <c r="W28">
        <f>HYPERLINK("https://klasma.github.io/Logging_1443/kartor/A 35491-2023 karta.png", "A 35491-2023")</f>
        <v/>
      </c>
      <c r="X28">
        <f>HYPERLINK("https://klasma.github.io/Logging_1443/kartor_geotiff/A 35491-2023 georefererad karta.tif", "A 35491-2023")</f>
        <v/>
      </c>
      <c r="Y28">
        <f>HYPERLINK("https://klasma.github.io/Logging_1443/knärot/A 35491-2023 karta knärot.png", "A 35491-2023")</f>
        <v/>
      </c>
      <c r="Z28">
        <f>HYPERLINK("https://klasma.github.io/Logging_1443/klagomål/A 35491-2023 FSC-klagomål.docx", "A 35491-2023")</f>
        <v/>
      </c>
      <c r="AA28">
        <f>HYPERLINK("https://klasma.github.io/Logging_1443/klagomålsmail/A 35491-2023 FSC-klagomål mail.docx", "A 35491-2023")</f>
        <v/>
      </c>
      <c r="AB28">
        <f>HYPERLINK("https://klasma.github.io/Logging_1443/tillsyn/A 35491-2023 tillsynsbegäran.docx", "A 35491-2023")</f>
        <v/>
      </c>
      <c r="AC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46223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Bäckbräsma</t>
        </is>
      </c>
      <c r="V29">
        <f>HYPERLINK("https://klasma.github.io/Logging_1443/artfynd/A 23906-2024 artfynd.xlsx", "A 23906-2024")</f>
        <v/>
      </c>
      <c r="W29">
        <f>HYPERLINK("https://klasma.github.io/Logging_1443/kartor/A 23906-2024 karta.png", "A 23906-2024")</f>
        <v/>
      </c>
      <c r="X29">
        <f>HYPERLINK("https://klasma.github.io/Logging_1443/kartor_geotiff/A 23906-2024 georefererad karta.tif", "A 23906-2024")</f>
        <v/>
      </c>
      <c r="Z29">
        <f>HYPERLINK("https://klasma.github.io/Logging_1443/klagomål/A 23906-2024 FSC-klagomål.docx", "A 23906-2024")</f>
        <v/>
      </c>
      <c r="AA29">
        <f>HYPERLINK("https://klasma.github.io/Logging_1443/klagomålsmail/A 23906-2024 FSC-klagomål mail.docx", "A 23906-2024")</f>
        <v/>
      </c>
      <c r="AB29">
        <f>HYPERLINK("https://klasma.github.io/Logging_1443/tillsyn/A 23906-2024 tillsynsbegäran.docx", "A 23906-2024")</f>
        <v/>
      </c>
      <c r="AC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46223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46223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46223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46223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46223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46223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46223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46223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46223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46223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46223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46223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46223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46223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46223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46223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46223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46223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46223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46223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46223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46223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46223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46223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46223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46223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46223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46223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46223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46223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46223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23330-2024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45453</v>
      </c>
      <c r="E63" s="1" t="n">
        <v>46223</v>
      </c>
      <c r="F63" t="inlineStr">
        <is>
          <t>VÄSTRA GÖTALANDS LÄN</t>
        </is>
      </c>
      <c r="G63" t="inlineStr">
        <is>
          <t>BOLLEBYGD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57036-2024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46223</v>
      </c>
      <c r="F64" t="inlineStr">
        <is>
          <t>VÄSTRA GÖTALANDS LÄN</t>
        </is>
      </c>
      <c r="G64" t="inlineStr">
        <is>
          <t>BOLLEBYGD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9159-2024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46223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46223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9086-2025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46223</v>
      </c>
      <c r="F67" t="inlineStr">
        <is>
          <t>VÄSTRA GÖTALANDS LÄN</t>
        </is>
      </c>
      <c r="G67" t="inlineStr">
        <is>
          <t>BOLLEBYGD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50302-2023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46223</v>
      </c>
      <c r="F68" t="inlineStr">
        <is>
          <t>VÄSTRA GÖTALANDS LÄN</t>
        </is>
      </c>
      <c r="G68" t="inlineStr">
        <is>
          <t>BOLLEBYGD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53055-2024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46223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46223</v>
      </c>
      <c r="F70" t="inlineStr">
        <is>
          <t>VÄSTRA GÖTALANDS LÄN</t>
        </is>
      </c>
      <c r="G70" t="inlineStr">
        <is>
          <t>BOLLEBYGD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46223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Kyrkan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31889-2023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45118</v>
      </c>
      <c r="E72" s="1" t="n">
        <v>46223</v>
      </c>
      <c r="F72" t="inlineStr">
        <is>
          <t>VÄSTRA GÖTALANDS LÄN</t>
        </is>
      </c>
      <c r="G72" t="inlineStr">
        <is>
          <t>BOLLEBYGD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47522-2024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46223</v>
      </c>
      <c r="F73" t="inlineStr">
        <is>
          <t>VÄSTRA GÖTALANDS LÄN</t>
        </is>
      </c>
      <c r="G73" t="inlineStr">
        <is>
          <t>BOLLEBYGD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65143-2023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46223</v>
      </c>
      <c r="F74" t="inlineStr">
        <is>
          <t>VÄSTRA GÖTALANDS LÄN</t>
        </is>
      </c>
      <c r="G74" t="inlineStr">
        <is>
          <t>BOLLEBYGD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15112-2022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46223</v>
      </c>
      <c r="F75" t="inlineStr">
        <is>
          <t>VÄSTRA GÖTALANDS LÄN</t>
        </is>
      </c>
      <c r="G75" t="inlineStr">
        <is>
          <t>BOLLEBYGD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46223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46223</v>
      </c>
      <c r="F77" t="inlineStr">
        <is>
          <t>VÄSTRA GÖTALANDS LÄN</t>
        </is>
      </c>
      <c r="G77" t="inlineStr">
        <is>
          <t>BOLLEBYGD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46048</v>
      </c>
      <c r="E78" s="1" t="n">
        <v>46223</v>
      </c>
      <c r="F78" t="inlineStr">
        <is>
          <t>VÄSTRA GÖTALANDS LÄN</t>
        </is>
      </c>
      <c r="G78" t="inlineStr">
        <is>
          <t>BOLLEBYGD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4588-2026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46223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46223</v>
      </c>
      <c r="F80" t="inlineStr">
        <is>
          <t>VÄSTRA GÖTALANDS LÄN</t>
        </is>
      </c>
      <c r="G80" t="inlineStr">
        <is>
          <t>BOLLEBYGD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46223</v>
      </c>
      <c r="F81" t="inlineStr">
        <is>
          <t>VÄSTRA GÖTALANDS LÄN</t>
        </is>
      </c>
      <c r="G81" t="inlineStr">
        <is>
          <t>BOLLEBYGD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46223</v>
      </c>
      <c r="F82" t="inlineStr">
        <is>
          <t>VÄSTRA GÖTALANDS LÄN</t>
        </is>
      </c>
      <c r="G82" t="inlineStr">
        <is>
          <t>BOLLEBYGD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9471-2025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46223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9530-2023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46223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31804-2025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46223</v>
      </c>
      <c r="F85" t="inlineStr">
        <is>
          <t>VÄSTRA GÖTALANDS LÄN</t>
        </is>
      </c>
      <c r="G85" t="inlineStr">
        <is>
          <t>BOLLEBYGD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22443-2023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46223</v>
      </c>
      <c r="F86" t="inlineStr">
        <is>
          <t>VÄSTRA GÖTALANDS LÄN</t>
        </is>
      </c>
      <c r="G86" t="inlineStr">
        <is>
          <t>BOLLEBYGD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54295-2023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45232</v>
      </c>
      <c r="E87" s="1" t="n">
        <v>46223</v>
      </c>
      <c r="F87" t="inlineStr">
        <is>
          <t>VÄSTRA GÖTALANDS LÄN</t>
        </is>
      </c>
      <c r="G87" t="inlineStr">
        <is>
          <t>BOLLEBYGD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32506-2025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46223</v>
      </c>
      <c r="F88" t="inlineStr">
        <is>
          <t>VÄSTRA GÖTALANDS LÄN</t>
        </is>
      </c>
      <c r="G88" t="inlineStr">
        <is>
          <t>BOLLEBYGD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32320-2025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45836</v>
      </c>
      <c r="E89" s="1" t="n">
        <v>46223</v>
      </c>
      <c r="F89" t="inlineStr">
        <is>
          <t>VÄSTRA GÖTALANDS LÄN</t>
        </is>
      </c>
      <c r="G89" t="inlineStr">
        <is>
          <t>BOLLEBYGD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6071-2026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46223</v>
      </c>
      <c r="F90" t="inlineStr">
        <is>
          <t>VÄSTRA GÖTALANDS LÄN</t>
        </is>
      </c>
      <c r="G90" t="inlineStr">
        <is>
          <t>BOLLEBYGD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46223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46223</v>
      </c>
      <c r="F92" t="inlineStr">
        <is>
          <t>VÄSTRA GÖTALANDS LÄN</t>
        </is>
      </c>
      <c r="G92" t="inlineStr">
        <is>
          <t>BOLLEBYGD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46223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46223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46223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46223</v>
      </c>
      <c r="F96" t="inlineStr">
        <is>
          <t>VÄSTRA GÖTALANDS LÄN</t>
        </is>
      </c>
      <c r="G96" t="inlineStr">
        <is>
          <t>BOLLEBYGD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46223</v>
      </c>
      <c r="F97" t="inlineStr">
        <is>
          <t>VÄSTRA GÖTALANDS LÄN</t>
        </is>
      </c>
      <c r="G97" t="inlineStr">
        <is>
          <t>BOLLEBYGD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46223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46223</v>
      </c>
      <c r="F99" t="inlineStr">
        <is>
          <t>VÄSTRA GÖTALANDS LÄN</t>
        </is>
      </c>
      <c r="G99" t="inlineStr">
        <is>
          <t>BOLLEBYGD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28158-2024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46223</v>
      </c>
      <c r="F100" t="inlineStr">
        <is>
          <t>VÄSTRA GÖTALANDS LÄN</t>
        </is>
      </c>
      <c r="G100" t="inlineStr">
        <is>
          <t>BOLLEBYGD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46223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46223</v>
      </c>
      <c r="F102" t="inlineStr">
        <is>
          <t>VÄSTRA GÖTALANDS LÄN</t>
        </is>
      </c>
      <c r="G102" t="inlineStr">
        <is>
          <t>BOLLEBYGD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36650-2025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45872</v>
      </c>
      <c r="E103" s="1" t="n">
        <v>46223</v>
      </c>
      <c r="F103" t="inlineStr">
        <is>
          <t>VÄSTRA GÖTALANDS LÄN</t>
        </is>
      </c>
      <c r="G103" t="inlineStr">
        <is>
          <t>BOLLEBYGD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49460-2025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46223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46223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31546-2022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44775</v>
      </c>
      <c r="E106" s="1" t="n">
        <v>46223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46223</v>
      </c>
      <c r="F107" t="inlineStr">
        <is>
          <t>VÄSTRA GÖTALANDS LÄN</t>
        </is>
      </c>
      <c r="G107" t="inlineStr">
        <is>
          <t>BOLLEBYGD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46223</v>
      </c>
      <c r="F108" t="inlineStr">
        <is>
          <t>VÄSTRA GÖTALANDS LÄN</t>
        </is>
      </c>
      <c r="G108" t="inlineStr">
        <is>
          <t>BOLLEBYGD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46223</v>
      </c>
      <c r="F109" t="inlineStr">
        <is>
          <t>VÄSTRA GÖTALANDS LÄN</t>
        </is>
      </c>
      <c r="G109" t="inlineStr">
        <is>
          <t>BOLLEBYGD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46223</v>
      </c>
      <c r="F110" t="inlineStr">
        <is>
          <t>VÄSTRA GÖTALANDS LÄN</t>
        </is>
      </c>
      <c r="G110" t="inlineStr">
        <is>
          <t>BOLLEBYGD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46223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46223</v>
      </c>
      <c r="F112" t="inlineStr">
        <is>
          <t>VÄSTRA GÖTALANDS LÄN</t>
        </is>
      </c>
      <c r="G112" t="inlineStr">
        <is>
          <t>BOLLEBYGD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31711-2023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46223</v>
      </c>
      <c r="F113" t="inlineStr">
        <is>
          <t>VÄSTRA GÖTALANDS LÄN</t>
        </is>
      </c>
      <c r="G113" t="inlineStr">
        <is>
          <t>BOLLEBYGD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31727-2023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46223</v>
      </c>
      <c r="F114" t="inlineStr">
        <is>
          <t>VÄSTRA GÖTALANDS LÄN</t>
        </is>
      </c>
      <c r="G114" t="inlineStr">
        <is>
          <t>BOLLEBYGD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46223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51314-2023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46223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50647-2021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46223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47980-2023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46223</v>
      </c>
      <c r="F118" t="inlineStr">
        <is>
          <t>VÄSTRA GÖTALANDS LÄN</t>
        </is>
      </c>
      <c r="G118" t="inlineStr">
        <is>
          <t>BOLLEBYGD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8570-2025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46223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18337-2023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46223</v>
      </c>
      <c r="F120" t="inlineStr">
        <is>
          <t>VÄSTRA GÖTALANDS LÄN</t>
        </is>
      </c>
      <c r="G120" t="inlineStr">
        <is>
          <t>BOLLEBYGD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45071</v>
      </c>
      <c r="E121" s="1" t="n">
        <v>46223</v>
      </c>
      <c r="F121" t="inlineStr">
        <is>
          <t>VÄSTRA GÖTALANDS LÄN</t>
        </is>
      </c>
      <c r="G121" t="inlineStr">
        <is>
          <t>BOLLEBYGD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17434-2026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46120</v>
      </c>
      <c r="E122" s="1" t="n">
        <v>46223</v>
      </c>
      <c r="F122" t="inlineStr">
        <is>
          <t>VÄSTRA GÖTALANDS LÄN</t>
        </is>
      </c>
      <c r="G122" t="inlineStr">
        <is>
          <t>BOLLEBYGD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40202-2021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44418</v>
      </c>
      <c r="E123" s="1" t="n">
        <v>46223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45982</v>
      </c>
      <c r="E124" s="1" t="n">
        <v>46223</v>
      </c>
      <c r="F124" t="inlineStr">
        <is>
          <t>VÄSTRA GÖTALANDS LÄN</t>
        </is>
      </c>
      <c r="G124" t="inlineStr">
        <is>
          <t>BOLLEBYGD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67455-2021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46223</v>
      </c>
      <c r="F125" t="inlineStr">
        <is>
          <t>VÄSTRA GÖTALANDS LÄN</t>
        </is>
      </c>
      <c r="G125" t="inlineStr">
        <is>
          <t>BOLLEBYGD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46223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11584-2026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46223</v>
      </c>
      <c r="F127" t="inlineStr">
        <is>
          <t>VÄSTRA GÖTALANDS LÄN</t>
        </is>
      </c>
      <c r="G127" t="inlineStr">
        <is>
          <t>BOLLEBYGD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46223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46223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12469-2026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46223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12503-2026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46223</v>
      </c>
      <c r="F131" t="inlineStr">
        <is>
          <t>VÄSTRA GÖTALANDS LÄN</t>
        </is>
      </c>
      <c r="G131" t="inlineStr">
        <is>
          <t>BOLLEBYGD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46223</v>
      </c>
      <c r="F132" t="inlineStr">
        <is>
          <t>VÄSTRA GÖTALANDS LÄN</t>
        </is>
      </c>
      <c r="G132" t="inlineStr">
        <is>
          <t>BOLLEBYGD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13121-2026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46223</v>
      </c>
      <c r="F133" t="inlineStr">
        <is>
          <t>VÄSTRA GÖTALANDS LÄN</t>
        </is>
      </c>
      <c r="G133" t="inlineStr">
        <is>
          <t>BOLLEBYGD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12879-2026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46092</v>
      </c>
      <c r="E134" s="1" t="n">
        <v>46223</v>
      </c>
      <c r="F134" t="inlineStr">
        <is>
          <t>VÄSTRA GÖTALANDS LÄN</t>
        </is>
      </c>
      <c r="G134" t="inlineStr">
        <is>
          <t>BOLLEBYGD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46223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60091-2025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46223</v>
      </c>
      <c r="F136" t="inlineStr">
        <is>
          <t>VÄSTRA GÖTALANDS LÄN</t>
        </is>
      </c>
      <c r="G136" t="inlineStr">
        <is>
          <t>BOLLEBYGD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46223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18615-2025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46223</v>
      </c>
      <c r="F138" t="inlineStr">
        <is>
          <t>VÄSTRA GÖTALANDS LÄN</t>
        </is>
      </c>
      <c r="G138" t="inlineStr">
        <is>
          <t>BOLLEBYGD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46223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46223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54783-2025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46223</v>
      </c>
      <c r="F141" t="inlineStr">
        <is>
          <t>VÄSTRA GÖTALANDS LÄN</t>
        </is>
      </c>
      <c r="G141" t="inlineStr">
        <is>
          <t>BOLLEBYGD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59872-2025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46223</v>
      </c>
      <c r="F142" t="inlineStr">
        <is>
          <t>VÄSTRA GÖTALANDS LÄN</t>
        </is>
      </c>
      <c r="G142" t="inlineStr">
        <is>
          <t>BOLLEBYGD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60181-2025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46223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31717-2023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46223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46223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46223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59493-2025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46223</v>
      </c>
      <c r="F147" t="inlineStr">
        <is>
          <t>VÄSTRA GÖTALANDS LÄN</t>
        </is>
      </c>
      <c r="G147" t="inlineStr">
        <is>
          <t>BOLLEBYGD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46223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60946-2025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46223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14111-2026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46223</v>
      </c>
      <c r="F150" t="inlineStr">
        <is>
          <t>VÄSTRA GÖTALANDS LÄN</t>
        </is>
      </c>
      <c r="G150" t="inlineStr">
        <is>
          <t>BOLLEBYGD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46223</v>
      </c>
      <c r="F151" t="inlineStr">
        <is>
          <t>VÄSTRA GÖTALANDS LÄN</t>
        </is>
      </c>
      <c r="G151" t="inlineStr">
        <is>
          <t>BOLLEBYGD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14545-2026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46100</v>
      </c>
      <c r="E152" s="1" t="n">
        <v>46223</v>
      </c>
      <c r="F152" t="inlineStr">
        <is>
          <t>VÄSTRA GÖTALANDS LÄN</t>
        </is>
      </c>
      <c r="G152" t="inlineStr">
        <is>
          <t>BOLLEBYGD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58011-2022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46223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54289-2022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46223</v>
      </c>
      <c r="F154" t="inlineStr">
        <is>
          <t>VÄSTRA GÖTALANDS LÄN</t>
        </is>
      </c>
      <c r="G154" t="inlineStr">
        <is>
          <t>BOLLEBYGD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46223</v>
      </c>
      <c r="F155" t="inlineStr">
        <is>
          <t>VÄSTRA GÖTALANDS LÄN</t>
        </is>
      </c>
      <c r="G155" t="inlineStr">
        <is>
          <t>BOLLEBYGD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56452-2022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46223</v>
      </c>
      <c r="F156" t="inlineStr">
        <is>
          <t>VÄSTRA GÖTALANDS LÄN</t>
        </is>
      </c>
      <c r="G156" t="inlineStr">
        <is>
          <t>BOLLEBYGD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58010-2022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46223</v>
      </c>
      <c r="F157" t="inlineStr">
        <is>
          <t>VÄSTRA GÖTALANDS LÄN</t>
        </is>
      </c>
      <c r="G157" t="inlineStr">
        <is>
          <t>BOLLEBYGD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10610-2025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46223</v>
      </c>
      <c r="F158" t="inlineStr">
        <is>
          <t>VÄSTRA GÖTALANDS LÄN</t>
        </is>
      </c>
      <c r="G158" t="inlineStr">
        <is>
          <t>BOLLEBYGD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46223</v>
      </c>
      <c r="F159" t="inlineStr">
        <is>
          <t>VÄSTRA GÖTALANDS LÄN</t>
        </is>
      </c>
      <c r="G159" t="inlineStr">
        <is>
          <t>BOLLEBYGD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64003-2025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46223</v>
      </c>
      <c r="F160" t="inlineStr">
        <is>
          <t>VÄSTRA GÖTALANDS LÄN</t>
        </is>
      </c>
      <c r="G160" t="inlineStr">
        <is>
          <t>BOLLEBYGD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64005-2025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46223</v>
      </c>
      <c r="F161" t="inlineStr">
        <is>
          <t>VÄSTRA GÖTALANDS LÄN</t>
        </is>
      </c>
      <c r="G161" t="inlineStr">
        <is>
          <t>BOLLEBYGD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45288</v>
      </c>
      <c r="E162" s="1" t="n">
        <v>46223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46223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43398-2024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46223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59517-2023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46223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59816-2021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46223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6745-2023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44966</v>
      </c>
      <c r="E167" s="1" t="n">
        <v>46223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46223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46223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11239-2023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44992</v>
      </c>
      <c r="E170" s="1" t="n">
        <v>46223</v>
      </c>
      <c r="F170" t="inlineStr">
        <is>
          <t>VÄSTRA GÖTALANDS LÄN</t>
        </is>
      </c>
      <c r="G170" t="inlineStr">
        <is>
          <t>BOLLEBYGD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19644-2026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46223</v>
      </c>
      <c r="F171" t="inlineStr">
        <is>
          <t>VÄSTRA GÖTALANDS LÄN</t>
        </is>
      </c>
      <c r="G171" t="inlineStr">
        <is>
          <t>BOLLEBYGD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46223</v>
      </c>
      <c r="F172" t="inlineStr">
        <is>
          <t>VÄSTRA GÖTALANDS LÄN</t>
        </is>
      </c>
      <c r="G172" t="inlineStr">
        <is>
          <t>BOLLEBYGD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46223</v>
      </c>
      <c r="F173" t="inlineStr">
        <is>
          <t>VÄSTRA GÖTALANDS LÄN</t>
        </is>
      </c>
      <c r="G173" t="inlineStr">
        <is>
          <t>BOLLEBYGD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46223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31715-2023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46223</v>
      </c>
      <c r="F175" t="inlineStr">
        <is>
          <t>VÄSTRA GÖTALANDS LÄN</t>
        </is>
      </c>
      <c r="G175" t="inlineStr">
        <is>
          <t>BOLLEBYGD</t>
        </is>
      </c>
      <c r="I175" t="n">
        <v>12.4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31745-2023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46223</v>
      </c>
      <c r="F176" t="inlineStr">
        <is>
          <t>VÄSTRA GÖTALANDS LÄN</t>
        </is>
      </c>
      <c r="G176" t="inlineStr">
        <is>
          <t>BOLLEBYGD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45696</v>
      </c>
      <c r="E177" s="1" t="n">
        <v>46223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46223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47265-2024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46223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46223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6653-2022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46223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42157-2021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44426</v>
      </c>
      <c r="E182" s="1" t="n">
        <v>46223</v>
      </c>
      <c r="F182" t="inlineStr">
        <is>
          <t>VÄSTRA GÖTALANDS LÄN</t>
        </is>
      </c>
      <c r="G182" t="inlineStr">
        <is>
          <t>BOLLEBYGD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36131-2024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46223</v>
      </c>
      <c r="F183" t="inlineStr">
        <is>
          <t>VÄSTRA GÖTALANDS LÄN</t>
        </is>
      </c>
      <c r="G183" t="inlineStr">
        <is>
          <t>BOLLEBYGD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46223</v>
      </c>
      <c r="F184" t="inlineStr">
        <is>
          <t>VÄSTRA GÖTALANDS LÄN</t>
        </is>
      </c>
      <c r="G184" t="inlineStr">
        <is>
          <t>BOLLEBYGD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20600-2026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46223</v>
      </c>
      <c r="F185" t="inlineStr">
        <is>
          <t>VÄSTRA GÖTALANDS LÄN</t>
        </is>
      </c>
      <c r="G185" t="inlineStr">
        <is>
          <t>BOLLEBYGD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52371-2025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46223</v>
      </c>
      <c r="F186" t="inlineStr">
        <is>
          <t>VÄSTRA GÖTALANDS LÄN</t>
        </is>
      </c>
      <c r="G186" t="inlineStr">
        <is>
          <t>BOLLEBYGD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46223</v>
      </c>
      <c r="F187" t="inlineStr">
        <is>
          <t>VÄSTRA GÖTALANDS LÄN</t>
        </is>
      </c>
      <c r="G187" t="inlineStr">
        <is>
          <t>BOLLEBYGD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31726-2023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46223</v>
      </c>
      <c r="F188" t="inlineStr">
        <is>
          <t>VÄSTRA GÖTALANDS LÄN</t>
        </is>
      </c>
      <c r="G188" t="inlineStr">
        <is>
          <t>BOLLEBYGD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46223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46223</v>
      </c>
      <c r="F190" t="inlineStr">
        <is>
          <t>VÄSTRA GÖTALANDS LÄN</t>
        </is>
      </c>
      <c r="G190" t="inlineStr">
        <is>
          <t>BOLLEBYGD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21751-2022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44708</v>
      </c>
      <c r="E191" s="1" t="n">
        <v>46223</v>
      </c>
      <c r="F191" t="inlineStr">
        <is>
          <t>VÄSTRA GÖTALANDS LÄN</t>
        </is>
      </c>
      <c r="G191" t="inlineStr">
        <is>
          <t>BOLLEBYGD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20598-2026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46223</v>
      </c>
      <c r="F192" t="inlineStr">
        <is>
          <t>VÄSTRA GÖTALANDS LÄN</t>
        </is>
      </c>
      <c r="G192" t="inlineStr">
        <is>
          <t>BOLLEBYGD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45701</v>
      </c>
      <c r="E193" s="1" t="n">
        <v>46223</v>
      </c>
      <c r="F193" t="inlineStr">
        <is>
          <t>VÄSTRA GÖTALANDS LÄN</t>
        </is>
      </c>
      <c r="G193" t="inlineStr">
        <is>
          <t>BOLLEBYGD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25694-2025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46223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42256-2023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46223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41910-2024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46223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46223</v>
      </c>
      <c r="F197" t="inlineStr">
        <is>
          <t>VÄSTRA GÖTALANDS LÄN</t>
        </is>
      </c>
      <c r="G197" t="inlineStr">
        <is>
          <t>BOLLEBYGD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46223</v>
      </c>
      <c r="F198" t="inlineStr">
        <is>
          <t>VÄSTRA GÖTALANDS LÄN</t>
        </is>
      </c>
      <c r="G198" t="inlineStr">
        <is>
          <t>BOLLEBYGD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20782-2026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46223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46223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27098-2026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46223</v>
      </c>
      <c r="F201" t="inlineStr">
        <is>
          <t>VÄSTRA GÖTALANDS LÄN</t>
        </is>
      </c>
      <c r="G201" t="inlineStr">
        <is>
          <t>BOLLEBYGD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27248-2026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46223</v>
      </c>
      <c r="F202" t="inlineStr">
        <is>
          <t>VÄSTRA GÖTALANDS LÄN</t>
        </is>
      </c>
      <c r="G202" t="inlineStr">
        <is>
          <t>BOLLEBYGD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46223</v>
      </c>
      <c r="F203" t="inlineStr">
        <is>
          <t>VÄSTRA GÖTALANDS LÄN</t>
        </is>
      </c>
      <c r="G203" t="inlineStr">
        <is>
          <t>BOLLEBYGD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27782-2026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46223</v>
      </c>
      <c r="F204" t="inlineStr">
        <is>
          <t>VÄSTRA GÖTALANDS LÄN</t>
        </is>
      </c>
      <c r="G204" t="inlineStr">
        <is>
          <t>BOLLEBYGD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55159-2024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46223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48513-2021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44449</v>
      </c>
      <c r="E206" s="1" t="n">
        <v>46223</v>
      </c>
      <c r="F206" t="inlineStr">
        <is>
          <t>VÄSTRA GÖTALANDS LÄN</t>
        </is>
      </c>
      <c r="G206" t="inlineStr">
        <is>
          <t>BOLLEBYGD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54144-2022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46223</v>
      </c>
      <c r="F207" t="inlineStr">
        <is>
          <t>VÄSTRA GÖTALANDS LÄN</t>
        </is>
      </c>
      <c r="G207" t="inlineStr">
        <is>
          <t>BOLLEBYGD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45308</v>
      </c>
      <c r="E208" s="1" t="n">
        <v>46223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61671-2022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46223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12124-2024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46223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Kommuner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46223</v>
      </c>
      <c r="F211" t="inlineStr">
        <is>
          <t>VÄSTRA GÖTALANDS LÄN</t>
        </is>
      </c>
      <c r="G211" t="inlineStr">
        <is>
          <t>BOLLEBYGD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61334-2022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46223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46223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30793-2023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46223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30795-2023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46223</v>
      </c>
      <c r="F215" t="inlineStr">
        <is>
          <t>VÄSTRA GÖTALANDS LÄN</t>
        </is>
      </c>
      <c r="G215" t="inlineStr">
        <is>
          <t>BOLLEBYGD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30724-2023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46223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46223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56334-2024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45624</v>
      </c>
      <c r="E218" s="1" t="n">
        <v>46223</v>
      </c>
      <c r="F218" t="inlineStr">
        <is>
          <t>VÄSTRA GÖTALANDS LÄN</t>
        </is>
      </c>
      <c r="G218" t="inlineStr">
        <is>
          <t>BOLLEBYGD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61026-2022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46223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63725-2023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45276</v>
      </c>
      <c r="E220" s="1" t="n">
        <v>46223</v>
      </c>
      <c r="F220" t="inlineStr">
        <is>
          <t>VÄSTRA GÖTALANDS LÄN</t>
        </is>
      </c>
      <c r="G220" t="inlineStr">
        <is>
          <t>BOLLEBYGD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46223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46223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30762-2023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46223</v>
      </c>
      <c r="F223" t="inlineStr">
        <is>
          <t>VÄSTRA GÖTALANDS LÄN</t>
        </is>
      </c>
      <c r="G223" t="inlineStr">
        <is>
          <t>BOLLEBYGD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38586-2023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46223</v>
      </c>
      <c r="F224" t="inlineStr">
        <is>
          <t>VÄSTRA GÖTALANDS LÄN</t>
        </is>
      </c>
      <c r="G224" t="inlineStr">
        <is>
          <t>BOLLEBYGD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30772-2023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46223</v>
      </c>
      <c r="F225" t="inlineStr">
        <is>
          <t>VÄSTRA GÖTALANDS LÄN</t>
        </is>
      </c>
      <c r="G225" t="inlineStr">
        <is>
          <t>BOLLEBYGD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46223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46223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46223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46223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46223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45248</v>
      </c>
      <c r="E231" s="1" t="n">
        <v>46223</v>
      </c>
      <c r="F231" t="inlineStr">
        <is>
          <t>VÄSTRA GÖTALANDS LÄN</t>
        </is>
      </c>
      <c r="G231" t="inlineStr">
        <is>
          <t>BOLLEBYGD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64207-2021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44510</v>
      </c>
      <c r="E232" s="1" t="n">
        <v>46223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27103-2024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46223</v>
      </c>
      <c r="F233" t="inlineStr">
        <is>
          <t>VÄSTRA GÖTALANDS LÄN</t>
        </is>
      </c>
      <c r="G233" t="inlineStr">
        <is>
          <t>BOLLEBYGD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46223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46223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46223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46223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46223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46223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46223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2026-07-20T01:49:07Z</dcterms:created>
  <dcterms:modified xmlns:dcterms="http://purl.org/dc/terms/" xmlns:xsi="http://www.w3.org/2001/XMLSchema-instance" xsi:type="dcterms:W3CDTF">2026-07-20T01:49:07Z</dcterms:modified>
</cp:coreProperties>
</file>