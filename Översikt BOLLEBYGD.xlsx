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46150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46150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46150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46150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46150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46150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30754-2023</t>
        </is>
      </c>
      <c r="B11" s="1" t="n">
        <v>45112</v>
      </c>
      <c r="C11" s="1" t="n">
        <v>46150</v>
      </c>
      <c r="D11" t="inlineStr">
        <is>
          <t>VÄSTRA GÖTALANDS LÄN</t>
        </is>
      </c>
      <c r="E11" t="inlineStr">
        <is>
          <t>BOLLEBYGD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HYPERLINK("https://klasma.github.io/Logging_1443/artfynd/A 30754-2023 artfynd.xlsx", "A 30754-2023")</f>
        <v/>
      </c>
      <c r="T11">
        <f>HYPERLINK("https://klasma.github.io/Logging_1443/kartor/A 30754-2023 karta.png", "A 30754-2023")</f>
        <v/>
      </c>
      <c r="V11">
        <f>HYPERLINK("https://klasma.github.io/Logging_1443/klagomål/A 30754-2023 FSC-klagomål.docx", "A 30754-2023")</f>
        <v/>
      </c>
      <c r="W11">
        <f>HYPERLINK("https://klasma.github.io/Logging_1443/klagomålsmail/A 30754-2023 FSC-klagomål mail.docx", "A 30754-2023")</f>
        <v/>
      </c>
      <c r="X11">
        <f>HYPERLINK("https://klasma.github.io/Logging_1443/tillsyn/A 30754-2023 tillsynsbegäran.docx", "A 30754-2023")</f>
        <v/>
      </c>
      <c r="Y11">
        <f>HYPERLINK("https://klasma.github.io/Logging_1443/tillsynsmail/A 30754-2023 tillsynsbegäran mail.docx", "A 30754-2023")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46150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46150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46150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30785-2023</t>
        </is>
      </c>
      <c r="B15" s="1" t="n">
        <v>45112</v>
      </c>
      <c r="C15" s="1" t="n">
        <v>46150</v>
      </c>
      <c r="D15" t="inlineStr">
        <is>
          <t>VÄSTRA GÖTALANDS LÄN</t>
        </is>
      </c>
      <c r="E15" t="inlineStr">
        <is>
          <t>BOLLEBYGD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30785-2023 artfynd.xlsx", "A 30785-2023")</f>
        <v/>
      </c>
      <c r="T15">
        <f>HYPERLINK("https://klasma.github.io/Logging_1443/kartor/A 30785-2023 karta.png", "A 30785-2023")</f>
        <v/>
      </c>
      <c r="V15">
        <f>HYPERLINK("https://klasma.github.io/Logging_1443/klagomål/A 30785-2023 FSC-klagomål.docx", "A 30785-2023")</f>
        <v/>
      </c>
      <c r="W15">
        <f>HYPERLINK("https://klasma.github.io/Logging_1443/klagomålsmail/A 30785-2023 FSC-klagomål mail.docx", "A 30785-2023")</f>
        <v/>
      </c>
      <c r="X15">
        <f>HYPERLINK("https://klasma.github.io/Logging_1443/tillsyn/A 30785-2023 tillsynsbegäran.docx", "A 30785-2023")</f>
        <v/>
      </c>
      <c r="Y15">
        <f>HYPERLINK("https://klasma.github.io/Logging_1443/tillsynsmail/A 30785-2023 tillsynsbegäran mail.docx", "A 30785-2023")</f>
        <v/>
      </c>
    </row>
    <row r="16" ht="15" customHeight="1">
      <c r="A16" t="inlineStr">
        <is>
          <t>A 32503-2025</t>
        </is>
      </c>
      <c r="B16" s="1" t="n">
        <v>45838.46440972222</v>
      </c>
      <c r="C16" s="1" t="n">
        <v>46150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HYPERLINK("https://klasma.github.io/Logging_1443/artfynd/A 32503-2025 artfynd.xlsx", "A 32503-2025")</f>
        <v/>
      </c>
      <c r="T16">
        <f>HYPERLINK("https://klasma.github.io/Logging_1443/kartor/A 32503-2025 karta.png", "A 32503-2025")</f>
        <v/>
      </c>
      <c r="V16">
        <f>HYPERLINK("https://klasma.github.io/Logging_1443/klagomål/A 32503-2025 FSC-klagomål.docx", "A 32503-2025")</f>
        <v/>
      </c>
      <c r="W16">
        <f>HYPERLINK("https://klasma.github.io/Logging_1443/klagomålsmail/A 32503-2025 FSC-klagomål mail.docx", "A 32503-2025")</f>
        <v/>
      </c>
      <c r="X16">
        <f>HYPERLINK("https://klasma.github.io/Logging_1443/tillsyn/A 32503-2025 tillsynsbegäran.docx", "A 32503-2025")</f>
        <v/>
      </c>
      <c r="Y16">
        <f>HYPERLINK("https://klasma.github.io/Logging_1443/tillsynsmail/A 32503-2025 tillsynsbegäran mail.docx", "A 32503-2025")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46150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46150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46150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46150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46150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22724-2021</t>
        </is>
      </c>
      <c r="B34" s="1" t="n">
        <v>44327</v>
      </c>
      <c r="C34" s="1" t="n">
        <v>46150</v>
      </c>
      <c r="D34" t="inlineStr">
        <is>
          <t>VÄSTRA GÖTALANDS LÄN</t>
        </is>
      </c>
      <c r="E34" t="inlineStr">
        <is>
          <t>BOLLEBYGD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39556-2022</t>
        </is>
      </c>
      <c r="B35" s="1" t="n">
        <v>44818.56305555555</v>
      </c>
      <c r="C35" s="1" t="n">
        <v>46150</v>
      </c>
      <c r="D35" t="inlineStr">
        <is>
          <t>VÄSTRA GÖTALANDS LÄN</t>
        </is>
      </c>
      <c r="E35" t="inlineStr">
        <is>
          <t>BOLLEBYGD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46150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46150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50011-2023</t>
        </is>
      </c>
      <c r="B38" s="1" t="n">
        <v>45215</v>
      </c>
      <c r="C38" s="1" t="n">
        <v>46150</v>
      </c>
      <c r="D38" t="inlineStr">
        <is>
          <t>VÄSTRA GÖTALANDS LÄN</t>
        </is>
      </c>
      <c r="E38" t="inlineStr">
        <is>
          <t>BOLLEBYGD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46511-2023</t>
        </is>
      </c>
      <c r="B39" s="1" t="n">
        <v>45197</v>
      </c>
      <c r="C39" s="1" t="n">
        <v>46150</v>
      </c>
      <c r="D39" t="inlineStr">
        <is>
          <t>VÄSTRA GÖTALANDS LÄN</t>
        </is>
      </c>
      <c r="E39" t="inlineStr">
        <is>
          <t>BOLLEBYGD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12160-2024</t>
        </is>
      </c>
      <c r="B40" s="1" t="n">
        <v>45377.80496527778</v>
      </c>
      <c r="C40" s="1" t="n">
        <v>46150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46150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18615-2025</t>
        </is>
      </c>
      <c r="B42" s="1" t="n">
        <v>45763.50521990741</v>
      </c>
      <c r="C42" s="1" t="n">
        <v>46150</v>
      </c>
      <c r="D42" t="inlineStr">
        <is>
          <t>VÄSTRA GÖTALANDS LÄN</t>
        </is>
      </c>
      <c r="E42" t="inlineStr">
        <is>
          <t>BOLLEBYGD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31717-2023</t>
        </is>
      </c>
      <c r="B43" s="1" t="n">
        <v>45117</v>
      </c>
      <c r="C43" s="1" t="n">
        <v>46150</v>
      </c>
      <c r="D43" t="inlineStr">
        <is>
          <t>VÄSTRA GÖTALANDS LÄN</t>
        </is>
      </c>
      <c r="E43" t="inlineStr">
        <is>
          <t>BOLLEBYGD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31719-2023</t>
        </is>
      </c>
      <c r="B44" s="1" t="n">
        <v>45117.8900462963</v>
      </c>
      <c r="C44" s="1" t="n">
        <v>46150</v>
      </c>
      <c r="D44" t="inlineStr">
        <is>
          <t>VÄSTRA GÖTALANDS LÄN</t>
        </is>
      </c>
      <c r="E44" t="inlineStr">
        <is>
          <t>BOLLEBYGD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30800-2023</t>
        </is>
      </c>
      <c r="B45" s="1" t="n">
        <v>45112.77375</v>
      </c>
      <c r="C45" s="1" t="n">
        <v>46150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46150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46150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24368-2022</t>
        </is>
      </c>
      <c r="B48" s="1" t="n">
        <v>44726.43189814815</v>
      </c>
      <c r="C48" s="1" t="n">
        <v>46150</v>
      </c>
      <c r="D48" t="inlineStr">
        <is>
          <t>VÄSTRA GÖTALANDS LÄN</t>
        </is>
      </c>
      <c r="E48" t="inlineStr">
        <is>
          <t>BOLLEBYGD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50057-2023</t>
        </is>
      </c>
      <c r="B49" s="1" t="n">
        <v>45215</v>
      </c>
      <c r="C49" s="1" t="n">
        <v>46150</v>
      </c>
      <c r="D49" t="inlineStr">
        <is>
          <t>VÄSTRA GÖTALANDS LÄN</t>
        </is>
      </c>
      <c r="E49" t="inlineStr">
        <is>
          <t>BOLLEBYGD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29658-2022</t>
        </is>
      </c>
      <c r="B50" s="1" t="n">
        <v>44754.67859953704</v>
      </c>
      <c r="C50" s="1" t="n">
        <v>46150</v>
      </c>
      <c r="D50" t="inlineStr">
        <is>
          <t>VÄSTRA GÖTALANDS LÄN</t>
        </is>
      </c>
      <c r="E50" t="inlineStr">
        <is>
          <t>BOLLEBYGD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32014-2021</t>
        </is>
      </c>
      <c r="B51" s="1" t="n">
        <v>44370.63486111111</v>
      </c>
      <c r="C51" s="1" t="n">
        <v>46150</v>
      </c>
      <c r="D51" t="inlineStr">
        <is>
          <t>VÄSTRA GÖTALANDS LÄN</t>
        </is>
      </c>
      <c r="E51" t="inlineStr">
        <is>
          <t>BOLLEBYGD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27498-2021</t>
        </is>
      </c>
      <c r="B52" s="1" t="n">
        <v>44351</v>
      </c>
      <c r="C52" s="1" t="n">
        <v>46150</v>
      </c>
      <c r="D52" t="inlineStr">
        <is>
          <t>VÄSTRA GÖTALANDS LÄN</t>
        </is>
      </c>
      <c r="E52" t="inlineStr">
        <is>
          <t>BOLLEBYGD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27103-2024</t>
        </is>
      </c>
      <c r="B53" s="1" t="n">
        <v>45471.4950462963</v>
      </c>
      <c r="C53" s="1" t="n">
        <v>46150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57443-2024</t>
        </is>
      </c>
      <c r="B54" s="1" t="n">
        <v>45629.8953587963</v>
      </c>
      <c r="C54" s="1" t="n">
        <v>46150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30650-2023</t>
        </is>
      </c>
      <c r="B55" s="1" t="n">
        <v>45112.47785879629</v>
      </c>
      <c r="C55" s="1" t="n">
        <v>46150</v>
      </c>
      <c r="D55" t="inlineStr">
        <is>
          <t>VÄSTRA GÖTALANDS LÄN</t>
        </is>
      </c>
      <c r="E55" t="inlineStr">
        <is>
          <t>BOLLEBYGD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25928-2023</t>
        </is>
      </c>
      <c r="B56" s="1" t="n">
        <v>45090.67364583333</v>
      </c>
      <c r="C56" s="1" t="n">
        <v>46150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54289-2022</t>
        </is>
      </c>
      <c r="B57" s="1" t="n">
        <v>44882</v>
      </c>
      <c r="C57" s="1" t="n">
        <v>46150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46150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46150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21573-2025</t>
        </is>
      </c>
      <c r="B60" s="1" t="n">
        <v>45782.82457175926</v>
      </c>
      <c r="C60" s="1" t="n">
        <v>46150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21575-2025</t>
        </is>
      </c>
      <c r="B61" s="1" t="n">
        <v>45782.8308912037</v>
      </c>
      <c r="C61" s="1" t="n">
        <v>46150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21878-2025</t>
        </is>
      </c>
      <c r="B62" s="1" t="n">
        <v>45784.40392361111</v>
      </c>
      <c r="C62" s="1" t="n">
        <v>46150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23906-2024</t>
        </is>
      </c>
      <c r="B63" s="1" t="n">
        <v>45455.80586805556</v>
      </c>
      <c r="C63" s="1" t="n">
        <v>46150</v>
      </c>
      <c r="D63" t="inlineStr">
        <is>
          <t>VÄSTRA GÖTALANDS LÄN</t>
        </is>
      </c>
      <c r="E63" t="inlineStr">
        <is>
          <t>BOLLEBYGD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21574-2025</t>
        </is>
      </c>
      <c r="B64" s="1" t="n">
        <v>45782.82858796296</v>
      </c>
      <c r="C64" s="1" t="n">
        <v>46150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23907-2024</t>
        </is>
      </c>
      <c r="B65" s="1" t="n">
        <v>45455.80972222222</v>
      </c>
      <c r="C65" s="1" t="n">
        <v>46150</v>
      </c>
      <c r="D65" t="inlineStr">
        <is>
          <t>VÄSTRA GÖTALANDS LÄN</t>
        </is>
      </c>
      <c r="E65" t="inlineStr">
        <is>
          <t>BOLLEBYGD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1922-2024</t>
        </is>
      </c>
      <c r="B66" s="1" t="n">
        <v>45308.43416666667</v>
      </c>
      <c r="C66" s="1" t="n">
        <v>46150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60792-2022</t>
        </is>
      </c>
      <c r="B67" s="1" t="n">
        <v>44914.42209490741</v>
      </c>
      <c r="C67" s="1" t="n">
        <v>46150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5072-2023</t>
        </is>
      </c>
      <c r="B68" s="1" t="n">
        <v>44958.60896990741</v>
      </c>
      <c r="C68" s="1" t="n">
        <v>46150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65118-2023</t>
        </is>
      </c>
      <c r="B69" s="1" t="n">
        <v>45288</v>
      </c>
      <c r="C69" s="1" t="n">
        <v>46150</v>
      </c>
      <c r="D69" t="inlineStr">
        <is>
          <t>VÄSTRA GÖTALANDS LÄN</t>
        </is>
      </c>
      <c r="E69" t="inlineStr">
        <is>
          <t>BOLLEBYGD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56335-2024</t>
        </is>
      </c>
      <c r="B70" s="1" t="n">
        <v>45624.80724537037</v>
      </c>
      <c r="C70" s="1" t="n">
        <v>46150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43398-2024</t>
        </is>
      </c>
      <c r="B71" s="1" t="n">
        <v>45568.61006944445</v>
      </c>
      <c r="C71" s="1" t="n">
        <v>46150</v>
      </c>
      <c r="D71" t="inlineStr">
        <is>
          <t>VÄSTRA GÖTALANDS LÄN</t>
        </is>
      </c>
      <c r="E71" t="inlineStr">
        <is>
          <t>BOLLEBYGD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59517-2023</t>
        </is>
      </c>
      <c r="B72" s="1" t="n">
        <v>45254</v>
      </c>
      <c r="C72" s="1" t="n">
        <v>46150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9401-2024</t>
        </is>
      </c>
      <c r="B73" s="1" t="n">
        <v>45359.42094907408</v>
      </c>
      <c r="C73" s="1" t="n">
        <v>46150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22424-2025</t>
        </is>
      </c>
      <c r="B74" s="1" t="n">
        <v>45786.56738425926</v>
      </c>
      <c r="C74" s="1" t="n">
        <v>46150</v>
      </c>
      <c r="D74" t="inlineStr">
        <is>
          <t>VÄSTRA GÖTALANDS LÄN</t>
        </is>
      </c>
      <c r="E74" t="inlineStr">
        <is>
          <t>BOLLEBYGD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59816-2021</t>
        </is>
      </c>
      <c r="B75" s="1" t="n">
        <v>44494</v>
      </c>
      <c r="C75" s="1" t="n">
        <v>46150</v>
      </c>
      <c r="D75" t="inlineStr">
        <is>
          <t>VÄSTRA GÖTALANDS LÄN</t>
        </is>
      </c>
      <c r="E75" t="inlineStr">
        <is>
          <t>BOLLEBYGD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39188-2025</t>
        </is>
      </c>
      <c r="B76" s="1" t="n">
        <v>45888.67532407407</v>
      </c>
      <c r="C76" s="1" t="n">
        <v>46150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54287-2022</t>
        </is>
      </c>
      <c r="B77" s="1" t="n">
        <v>44882.37096064815</v>
      </c>
      <c r="C77" s="1" t="n">
        <v>46150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6745-2023</t>
        </is>
      </c>
      <c r="B78" s="1" t="n">
        <v>44966</v>
      </c>
      <c r="C78" s="1" t="n">
        <v>46150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43938-2024</t>
        </is>
      </c>
      <c r="B79" s="1" t="n">
        <v>45572.46334490741</v>
      </c>
      <c r="C79" s="1" t="n">
        <v>46150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46150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30769-2023</t>
        </is>
      </c>
      <c r="B81" s="1" t="n">
        <v>45112</v>
      </c>
      <c r="C81" s="1" t="n">
        <v>46150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54659-2022</t>
        </is>
      </c>
      <c r="B82" s="1" t="n">
        <v>44883</v>
      </c>
      <c r="C82" s="1" t="n">
        <v>46150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30794-2023</t>
        </is>
      </c>
      <c r="B83" s="1" t="n">
        <v>45112.75039351852</v>
      </c>
      <c r="C83" s="1" t="n">
        <v>46150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31718-2023</t>
        </is>
      </c>
      <c r="B84" s="1" t="n">
        <v>45117.88568287037</v>
      </c>
      <c r="C84" s="1" t="n">
        <v>46150</v>
      </c>
      <c r="D84" t="inlineStr">
        <is>
          <t>VÄSTRA GÖTALANDS LÄN</t>
        </is>
      </c>
      <c r="E84" t="inlineStr">
        <is>
          <t>BOLLEBYGD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35526-2023</t>
        </is>
      </c>
      <c r="B85" s="1" t="n">
        <v>45147</v>
      </c>
      <c r="C85" s="1" t="n">
        <v>46150</v>
      </c>
      <c r="D85" t="inlineStr">
        <is>
          <t>VÄSTRA GÖTALANDS LÄN</t>
        </is>
      </c>
      <c r="E85" t="inlineStr">
        <is>
          <t>BOLLEBYGD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65143-2023</t>
        </is>
      </c>
      <c r="B86" s="1" t="n">
        <v>45288</v>
      </c>
      <c r="C86" s="1" t="n">
        <v>46150</v>
      </c>
      <c r="D86" t="inlineStr">
        <is>
          <t>VÄSTRA GÖTALANDS LÄN</t>
        </is>
      </c>
      <c r="E86" t="inlineStr">
        <is>
          <t>BOLLEBYGD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28040-2024</t>
        </is>
      </c>
      <c r="B87" s="1" t="n">
        <v>45476.50533564815</v>
      </c>
      <c r="C87" s="1" t="n">
        <v>46150</v>
      </c>
      <c r="D87" t="inlineStr">
        <is>
          <t>VÄSTRA GÖTALANDS LÄN</t>
        </is>
      </c>
      <c r="E87" t="inlineStr">
        <is>
          <t>BOLLEBYGD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22834-2024</t>
        </is>
      </c>
      <c r="B88" s="1" t="n">
        <v>45448.57018518518</v>
      </c>
      <c r="C88" s="1" t="n">
        <v>46150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23311-2025</t>
        </is>
      </c>
      <c r="B89" s="1" t="n">
        <v>45791.60857638889</v>
      </c>
      <c r="C89" s="1" t="n">
        <v>46150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4782-2024</t>
        </is>
      </c>
      <c r="B90" s="1" t="n">
        <v>45328</v>
      </c>
      <c r="C90" s="1" t="n">
        <v>46150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4783-2024</t>
        </is>
      </c>
      <c r="B91" s="1" t="n">
        <v>45328</v>
      </c>
      <c r="C91" s="1" t="n">
        <v>46150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3237-2023</t>
        </is>
      </c>
      <c r="B92" s="1" t="n">
        <v>44946.84690972222</v>
      </c>
      <c r="C92" s="1" t="n">
        <v>46150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32208-2023</t>
        </is>
      </c>
      <c r="B93" s="1" t="n">
        <v>45119</v>
      </c>
      <c r="C93" s="1" t="n">
        <v>46150</v>
      </c>
      <c r="D93" t="inlineStr">
        <is>
          <t>VÄSTRA GÖTALANDS LÄN</t>
        </is>
      </c>
      <c r="E93" t="inlineStr">
        <is>
          <t>BOLLEBYGD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40276-2025</t>
        </is>
      </c>
      <c r="B94" s="1" t="n">
        <v>45895.35997685185</v>
      </c>
      <c r="C94" s="1" t="n">
        <v>46150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40774-2025</t>
        </is>
      </c>
      <c r="B95" s="1" t="n">
        <v>45897.42164351852</v>
      </c>
      <c r="C95" s="1" t="n">
        <v>46150</v>
      </c>
      <c r="D95" t="inlineStr">
        <is>
          <t>VÄSTRA GÖTALANDS LÄN</t>
        </is>
      </c>
      <c r="E95" t="inlineStr">
        <is>
          <t>BOLLEBYGD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11605-2024</t>
        </is>
      </c>
      <c r="B96" s="1" t="n">
        <v>45373.39921296296</v>
      </c>
      <c r="C96" s="1" t="n">
        <v>46150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70708-2021</t>
        </is>
      </c>
      <c r="B97" s="1" t="n">
        <v>44537</v>
      </c>
      <c r="C97" s="1" t="n">
        <v>46150</v>
      </c>
      <c r="D97" t="inlineStr">
        <is>
          <t>VÄSTRA GÖTALANDS LÄN</t>
        </is>
      </c>
      <c r="E97" t="inlineStr">
        <is>
          <t>BOLLEBYGD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1921-2024</t>
        </is>
      </c>
      <c r="B98" s="1" t="n">
        <v>45308.43202546296</v>
      </c>
      <c r="C98" s="1" t="n">
        <v>46150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42250-2023</t>
        </is>
      </c>
      <c r="B99" s="1" t="n">
        <v>45180.36814814815</v>
      </c>
      <c r="C99" s="1" t="n">
        <v>46150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1395-2024</t>
        </is>
      </c>
      <c r="B100" s="1" t="n">
        <v>45303</v>
      </c>
      <c r="C100" s="1" t="n">
        <v>46150</v>
      </c>
      <c r="D100" t="inlineStr">
        <is>
          <t>VÄSTRA GÖTALANDS LÄN</t>
        </is>
      </c>
      <c r="E100" t="inlineStr">
        <is>
          <t>BOLLEBYGD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3080-2024</t>
        </is>
      </c>
      <c r="B101" s="1" t="n">
        <v>45316</v>
      </c>
      <c r="C101" s="1" t="n">
        <v>46150</v>
      </c>
      <c r="D101" t="inlineStr">
        <is>
          <t>VÄSTRA GÖTALANDS LÄN</t>
        </is>
      </c>
      <c r="E101" t="inlineStr">
        <is>
          <t>BOLLEBYGD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25089-2025</t>
        </is>
      </c>
      <c r="B102" s="1" t="n">
        <v>45800.31393518519</v>
      </c>
      <c r="C102" s="1" t="n">
        <v>46150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25694-2025</t>
        </is>
      </c>
      <c r="B103" s="1" t="n">
        <v>45803.66457175926</v>
      </c>
      <c r="C103" s="1" t="n">
        <v>46150</v>
      </c>
      <c r="D103" t="inlineStr">
        <is>
          <t>VÄSTRA GÖTALANDS LÄN</t>
        </is>
      </c>
      <c r="E103" t="inlineStr">
        <is>
          <t>BOLLEBYGD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30633-2023</t>
        </is>
      </c>
      <c r="B104" s="1" t="n">
        <v>45112</v>
      </c>
      <c r="C104" s="1" t="n">
        <v>46150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25698-2025</t>
        </is>
      </c>
      <c r="B105" s="1" t="n">
        <v>45803.66721064815</v>
      </c>
      <c r="C105" s="1" t="n">
        <v>46150</v>
      </c>
      <c r="D105" t="inlineStr">
        <is>
          <t>VÄSTRA GÖTALANDS LÄN</t>
        </is>
      </c>
      <c r="E105" t="inlineStr">
        <is>
          <t>BOLLEBYGD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23330-2024</t>
        </is>
      </c>
      <c r="B106" s="1" t="n">
        <v>45453.46866898148</v>
      </c>
      <c r="C106" s="1" t="n">
        <v>46150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57036-2024</t>
        </is>
      </c>
      <c r="B107" s="1" t="n">
        <v>45629.2527662037</v>
      </c>
      <c r="C107" s="1" t="n">
        <v>46150</v>
      </c>
      <c r="D107" t="inlineStr">
        <is>
          <t>VÄSTRA GÖTALANDS LÄN</t>
        </is>
      </c>
      <c r="E107" t="inlineStr">
        <is>
          <t>BOLLEBYGD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43292-2025</t>
        </is>
      </c>
      <c r="B108" s="1" t="n">
        <v>45910.61802083333</v>
      </c>
      <c r="C108" s="1" t="n">
        <v>46150</v>
      </c>
      <c r="D108" t="inlineStr">
        <is>
          <t>VÄSTRA GÖTALANDS LÄN</t>
        </is>
      </c>
      <c r="E108" t="inlineStr">
        <is>
          <t>BOLLEBYGD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36532-2024</t>
        </is>
      </c>
      <c r="B109" s="1" t="n">
        <v>45537.44701388889</v>
      </c>
      <c r="C109" s="1" t="n">
        <v>46150</v>
      </c>
      <c r="D109" t="inlineStr">
        <is>
          <t>VÄSTRA GÖTALANDS LÄN</t>
        </is>
      </c>
      <c r="E109" t="inlineStr">
        <is>
          <t>BOLLEBYGD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35491-2025</t>
        </is>
      </c>
      <c r="B110" s="1" t="n">
        <v>45855.87664351852</v>
      </c>
      <c r="C110" s="1" t="n">
        <v>46150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9159-2024</t>
        </is>
      </c>
      <c r="B111" s="1" t="n">
        <v>45358.39443287037</v>
      </c>
      <c r="C111" s="1" t="n">
        <v>46150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11021-2022</t>
        </is>
      </c>
      <c r="B112" s="1" t="n">
        <v>44628.55136574074</v>
      </c>
      <c r="C112" s="1" t="n">
        <v>46150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50302-2023</t>
        </is>
      </c>
      <c r="B113" s="1" t="n">
        <v>45216</v>
      </c>
      <c r="C113" s="1" t="n">
        <v>46150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53055-2024</t>
        </is>
      </c>
      <c r="B114" s="1" t="n">
        <v>45611.46429398148</v>
      </c>
      <c r="C114" s="1" t="n">
        <v>46150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9086-2025</t>
        </is>
      </c>
      <c r="B115" s="1" t="n">
        <v>45713.67104166667</v>
      </c>
      <c r="C115" s="1" t="n">
        <v>46150</v>
      </c>
      <c r="D115" t="inlineStr">
        <is>
          <t>VÄSTRA GÖTALANDS LÄN</t>
        </is>
      </c>
      <c r="E115" t="inlineStr">
        <is>
          <t>BOLLEBYGD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31889-2023</t>
        </is>
      </c>
      <c r="B116" s="1" t="n">
        <v>45118</v>
      </c>
      <c r="C116" s="1" t="n">
        <v>46150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45185-2025</t>
        </is>
      </c>
      <c r="B117" s="1" t="n">
        <v>45919.54019675926</v>
      </c>
      <c r="C117" s="1" t="n">
        <v>46150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11239-2023</t>
        </is>
      </c>
      <c r="B118" s="1" t="n">
        <v>44992</v>
      </c>
      <c r="C118" s="1" t="n">
        <v>46150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18613-2025</t>
        </is>
      </c>
      <c r="B119" s="1" t="n">
        <v>45763.49810185185</v>
      </c>
      <c r="C119" s="1" t="n">
        <v>46150</v>
      </c>
      <c r="D119" t="inlineStr">
        <is>
          <t>VÄSTRA GÖTALANDS LÄN</t>
        </is>
      </c>
      <c r="E119" t="inlineStr">
        <is>
          <t>BOLLEBYGD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28073-2024</t>
        </is>
      </c>
      <c r="B120" s="1" t="n">
        <v>45476.58127314815</v>
      </c>
      <c r="C120" s="1" t="n">
        <v>46150</v>
      </c>
      <c r="D120" t="inlineStr">
        <is>
          <t>VÄSTRA GÖTALANDS LÄN</t>
        </is>
      </c>
      <c r="E120" t="inlineStr">
        <is>
          <t>BOLLEBYGD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18614-2025</t>
        </is>
      </c>
      <c r="B121" s="1" t="n">
        <v>45763.50244212963</v>
      </c>
      <c r="C121" s="1" t="n">
        <v>46150</v>
      </c>
      <c r="D121" t="inlineStr">
        <is>
          <t>VÄSTRA GÖTALANDS LÄN</t>
        </is>
      </c>
      <c r="E121" t="inlineStr">
        <is>
          <t>BOLLEBYGD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36131-2024</t>
        </is>
      </c>
      <c r="B122" s="1" t="n">
        <v>45534.33863425926</v>
      </c>
      <c r="C122" s="1" t="n">
        <v>46150</v>
      </c>
      <c r="D122" t="inlineStr">
        <is>
          <t>VÄSTRA GÖTALANDS LÄN</t>
        </is>
      </c>
      <c r="E122" t="inlineStr">
        <is>
          <t>BOLLEBYGD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31712-2023</t>
        </is>
      </c>
      <c r="B123" s="1" t="n">
        <v>45117.8322337963</v>
      </c>
      <c r="C123" s="1" t="n">
        <v>46150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31715-2023</t>
        </is>
      </c>
      <c r="B124" s="1" t="n">
        <v>45117.84797453704</v>
      </c>
      <c r="C124" s="1" t="n">
        <v>46150</v>
      </c>
      <c r="D124" t="inlineStr">
        <is>
          <t>VÄSTRA GÖTALANDS LÄN</t>
        </is>
      </c>
      <c r="E124" t="inlineStr">
        <is>
          <t>BOLLEBYGD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31745-2023</t>
        </is>
      </c>
      <c r="B125" s="1" t="n">
        <v>45117</v>
      </c>
      <c r="C125" s="1" t="n">
        <v>46150</v>
      </c>
      <c r="D125" t="inlineStr">
        <is>
          <t>VÄSTRA GÖTALANDS LÄN</t>
        </is>
      </c>
      <c r="E125" t="inlineStr">
        <is>
          <t>BOLLEBYGD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47264-2024</t>
        </is>
      </c>
      <c r="B126" s="1" t="n">
        <v>45586.8034837963</v>
      </c>
      <c r="C126" s="1" t="n">
        <v>46150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15112-2022</t>
        </is>
      </c>
      <c r="B127" s="1" t="n">
        <v>44658</v>
      </c>
      <c r="C127" s="1" t="n">
        <v>46150</v>
      </c>
      <c r="D127" t="inlineStr">
        <is>
          <t>VÄSTRA GÖTALANDS LÄN</t>
        </is>
      </c>
      <c r="E127" t="inlineStr">
        <is>
          <t>BOLLEBYGD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3238-2023</t>
        </is>
      </c>
      <c r="B128" s="1" t="n">
        <v>44946.84815972222</v>
      </c>
      <c r="C128" s="1" t="n">
        <v>46150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47265-2024</t>
        </is>
      </c>
      <c r="B129" s="1" t="n">
        <v>45586.80979166667</v>
      </c>
      <c r="C129" s="1" t="n">
        <v>46150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48354-2024</t>
        </is>
      </c>
      <c r="B130" s="1" t="n">
        <v>45590.56171296296</v>
      </c>
      <c r="C130" s="1" t="n">
        <v>46150</v>
      </c>
      <c r="D130" t="inlineStr">
        <is>
          <t>VÄSTRA GÖTALANDS LÄN</t>
        </is>
      </c>
      <c r="E130" t="inlineStr">
        <is>
          <t>BOLLEBYGD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42483-2023</t>
        </is>
      </c>
      <c r="B131" s="1" t="n">
        <v>45180.82547453704</v>
      </c>
      <c r="C131" s="1" t="n">
        <v>46150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59472-2023</t>
        </is>
      </c>
      <c r="B132" s="1" t="n">
        <v>45254</v>
      </c>
      <c r="C132" s="1" t="n">
        <v>46150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6653-2022</t>
        </is>
      </c>
      <c r="B133" s="1" t="n">
        <v>44602</v>
      </c>
      <c r="C133" s="1" t="n">
        <v>46150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47279-2025</t>
        </is>
      </c>
      <c r="B134" s="1" t="n">
        <v>45930.47650462963</v>
      </c>
      <c r="C134" s="1" t="n">
        <v>46150</v>
      </c>
      <c r="D134" t="inlineStr">
        <is>
          <t>VÄSTRA GÖTALANDS LÄN</t>
        </is>
      </c>
      <c r="E134" t="inlineStr">
        <is>
          <t>BOLLEBYGD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47258-2025</t>
        </is>
      </c>
      <c r="B135" s="1" t="n">
        <v>45930.44646990741</v>
      </c>
      <c r="C135" s="1" t="n">
        <v>46150</v>
      </c>
      <c r="D135" t="inlineStr">
        <is>
          <t>VÄSTRA GÖTALANDS LÄN</t>
        </is>
      </c>
      <c r="E135" t="inlineStr">
        <is>
          <t>BOLLEBYGD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46150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29794-2025</t>
        </is>
      </c>
      <c r="B137" s="1" t="n">
        <v>45825.66684027778</v>
      </c>
      <c r="C137" s="1" t="n">
        <v>46150</v>
      </c>
      <c r="D137" t="inlineStr">
        <is>
          <t>VÄSTRA GÖTALANDS LÄN</t>
        </is>
      </c>
      <c r="E137" t="inlineStr">
        <is>
          <t>BOLLEBYGD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16534-2024</t>
        </is>
      </c>
      <c r="B138" s="1" t="n">
        <v>45408.43065972222</v>
      </c>
      <c r="C138" s="1" t="n">
        <v>46150</v>
      </c>
      <c r="D138" t="inlineStr">
        <is>
          <t>VÄSTRA GÖTALANDS LÄN</t>
        </is>
      </c>
      <c r="E138" t="inlineStr">
        <is>
          <t>BOLLEBYGD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47934-2025</t>
        </is>
      </c>
      <c r="B139" s="1" t="n">
        <v>45932.55678240741</v>
      </c>
      <c r="C139" s="1" t="n">
        <v>46150</v>
      </c>
      <c r="D139" t="inlineStr">
        <is>
          <t>VÄSTRA GÖTALANDS LÄN</t>
        </is>
      </c>
      <c r="E139" t="inlineStr">
        <is>
          <t>BOLLEBYGD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9530-2023</t>
        </is>
      </c>
      <c r="B140" s="1" t="n">
        <v>44981</v>
      </c>
      <c r="C140" s="1" t="n">
        <v>46150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14032-2025</t>
        </is>
      </c>
      <c r="B141" s="1" t="n">
        <v>45740.35876157408</v>
      </c>
      <c r="C141" s="1" t="n">
        <v>46150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47723-2025</t>
        </is>
      </c>
      <c r="B142" s="1" t="n">
        <v>45931.62960648148</v>
      </c>
      <c r="C142" s="1" t="n">
        <v>46150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22443-2023</t>
        </is>
      </c>
      <c r="B143" s="1" t="n">
        <v>45070</v>
      </c>
      <c r="C143" s="1" t="n">
        <v>46150</v>
      </c>
      <c r="D143" t="inlineStr">
        <is>
          <t>VÄSTRA GÖTALANDS LÄN</t>
        </is>
      </c>
      <c r="E143" t="inlineStr">
        <is>
          <t>BOLLEBYGD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10918-2025</t>
        </is>
      </c>
      <c r="B144" s="1" t="n">
        <v>45722.77650462963</v>
      </c>
      <c r="C144" s="1" t="n">
        <v>46150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9471-2025</t>
        </is>
      </c>
      <c r="B145" s="1" t="n">
        <v>45715.47013888889</v>
      </c>
      <c r="C145" s="1" t="n">
        <v>46150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54295-2023</t>
        </is>
      </c>
      <c r="B146" s="1" t="n">
        <v>45232</v>
      </c>
      <c r="C146" s="1" t="n">
        <v>46150</v>
      </c>
      <c r="D146" t="inlineStr">
        <is>
          <t>VÄSTRA GÖTALANDS LÄN</t>
        </is>
      </c>
      <c r="E146" t="inlineStr">
        <is>
          <t>BOLLEBYGD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48212-2025</t>
        </is>
      </c>
      <c r="B147" s="1" t="n">
        <v>45933.49399305556</v>
      </c>
      <c r="C147" s="1" t="n">
        <v>46150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49277-2025</t>
        </is>
      </c>
      <c r="B148" s="1" t="n">
        <v>45938.50756944445</v>
      </c>
      <c r="C148" s="1" t="n">
        <v>46150</v>
      </c>
      <c r="D148" t="inlineStr">
        <is>
          <t>VÄSTRA GÖTALANDS LÄN</t>
        </is>
      </c>
      <c r="E148" t="inlineStr">
        <is>
          <t>BOLLEBYGD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49269-2025</t>
        </is>
      </c>
      <c r="B149" s="1" t="n">
        <v>45938.50247685185</v>
      </c>
      <c r="C149" s="1" t="n">
        <v>46150</v>
      </c>
      <c r="D149" t="inlineStr">
        <is>
          <t>VÄSTRA GÖTALANDS LÄN</t>
        </is>
      </c>
      <c r="E149" t="inlineStr">
        <is>
          <t>BOLLEBYGD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31804-2025</t>
        </is>
      </c>
      <c r="B150" s="1" t="n">
        <v>45834.55309027778</v>
      </c>
      <c r="C150" s="1" t="n">
        <v>46150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30745-2023</t>
        </is>
      </c>
      <c r="B151" s="1" t="n">
        <v>45112</v>
      </c>
      <c r="C151" s="1" t="n">
        <v>46150</v>
      </c>
      <c r="D151" t="inlineStr">
        <is>
          <t>VÄSTRA GÖTALANDS LÄN</t>
        </is>
      </c>
      <c r="E151" t="inlineStr">
        <is>
          <t>BOLLEBYGD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30801-2023</t>
        </is>
      </c>
      <c r="B152" s="1" t="n">
        <v>45112.78192129629</v>
      </c>
      <c r="C152" s="1" t="n">
        <v>46150</v>
      </c>
      <c r="D152" t="inlineStr">
        <is>
          <t>VÄSTRA GÖTALANDS LÄN</t>
        </is>
      </c>
      <c r="E152" t="inlineStr">
        <is>
          <t>BOLLEBYGD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31594-2025</t>
        </is>
      </c>
      <c r="B153" s="1" t="n">
        <v>45833.70512731482</v>
      </c>
      <c r="C153" s="1" t="n">
        <v>46150</v>
      </c>
      <c r="D153" t="inlineStr">
        <is>
          <t>VÄSTRA GÖTALANDS LÄN</t>
        </is>
      </c>
      <c r="E153" t="inlineStr">
        <is>
          <t>BOLLEBYGD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56331-2024</t>
        </is>
      </c>
      <c r="B154" s="1" t="n">
        <v>45624.79915509259</v>
      </c>
      <c r="C154" s="1" t="n">
        <v>46150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32509-2025</t>
        </is>
      </c>
      <c r="B155" s="1" t="n">
        <v>45838.4722800926</v>
      </c>
      <c r="C155" s="1" t="n">
        <v>46150</v>
      </c>
      <c r="D155" t="inlineStr">
        <is>
          <t>VÄSTRA GÖTALANDS LÄN</t>
        </is>
      </c>
      <c r="E155" t="inlineStr">
        <is>
          <t>BOLLEBYGD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32506-2025</t>
        </is>
      </c>
      <c r="B156" s="1" t="n">
        <v>45838.4687037037</v>
      </c>
      <c r="C156" s="1" t="n">
        <v>46150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49460-2025</t>
        </is>
      </c>
      <c r="B157" s="1" t="n">
        <v>45939.31943287037</v>
      </c>
      <c r="C157" s="1" t="n">
        <v>46150</v>
      </c>
      <c r="D157" t="inlineStr">
        <is>
          <t>VÄSTRA GÖTALANDS LÄN</t>
        </is>
      </c>
      <c r="E157" t="inlineStr">
        <is>
          <t>BOLLEBYGD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32320-2025</t>
        </is>
      </c>
      <c r="B158" s="1" t="n">
        <v>45836.4041087963</v>
      </c>
      <c r="C158" s="1" t="n">
        <v>46150</v>
      </c>
      <c r="D158" t="inlineStr">
        <is>
          <t>VÄSTRA GÖTALANDS LÄN</t>
        </is>
      </c>
      <c r="E158" t="inlineStr">
        <is>
          <t>BOLLEBYGD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32862-2025</t>
        </is>
      </c>
      <c r="B159" s="1" t="n">
        <v>45839.5834837963</v>
      </c>
      <c r="C159" s="1" t="n">
        <v>46150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31724-2023</t>
        </is>
      </c>
      <c r="B160" s="1" t="n">
        <v>45117.91390046296</v>
      </c>
      <c r="C160" s="1" t="n">
        <v>46150</v>
      </c>
      <c r="D160" t="inlineStr">
        <is>
          <t>VÄSTRA GÖTALANDS LÄN</t>
        </is>
      </c>
      <c r="E160" t="inlineStr">
        <is>
          <t>BOLLEBYGD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31726-2023</t>
        </is>
      </c>
      <c r="B161" s="1" t="n">
        <v>45117.92457175926</v>
      </c>
      <c r="C161" s="1" t="n">
        <v>46150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17925-2022</t>
        </is>
      </c>
      <c r="B162" s="1" t="n">
        <v>44683.57416666667</v>
      </c>
      <c r="C162" s="1" t="n">
        <v>46150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21751-2022</t>
        </is>
      </c>
      <c r="B163" s="1" t="n">
        <v>44708.43361111111</v>
      </c>
      <c r="C163" s="1" t="n">
        <v>46150</v>
      </c>
      <c r="D163" t="inlineStr">
        <is>
          <t>VÄSTRA GÖTALANDS LÄN</t>
        </is>
      </c>
      <c r="E163" t="inlineStr">
        <is>
          <t>BOLLEBYGD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30792-2023</t>
        </is>
      </c>
      <c r="B164" s="1" t="n">
        <v>45112.72848379629</v>
      </c>
      <c r="C164" s="1" t="n">
        <v>46150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7046-2025</t>
        </is>
      </c>
      <c r="B165" s="1" t="n">
        <v>45701.6434375</v>
      </c>
      <c r="C165" s="1" t="n">
        <v>46150</v>
      </c>
      <c r="D165" t="inlineStr">
        <is>
          <t>VÄSTRA GÖTALANDS LÄN</t>
        </is>
      </c>
      <c r="E165" t="inlineStr">
        <is>
          <t>BOLLEBYGD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42256-2023</t>
        </is>
      </c>
      <c r="B166" s="1" t="n">
        <v>45180</v>
      </c>
      <c r="C166" s="1" t="n">
        <v>46150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41910-2024</t>
        </is>
      </c>
      <c r="B167" s="1" t="n">
        <v>45561.54084490741</v>
      </c>
      <c r="C167" s="1" t="n">
        <v>46150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62986-2023</t>
        </is>
      </c>
      <c r="B168" s="1" t="n">
        <v>45272</v>
      </c>
      <c r="C168" s="1" t="n">
        <v>46150</v>
      </c>
      <c r="D168" t="inlineStr">
        <is>
          <t>VÄSTRA GÖTALANDS LÄN</t>
        </is>
      </c>
      <c r="E168" t="inlineStr">
        <is>
          <t>BOLLEBYGD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52075-2025</t>
        </is>
      </c>
      <c r="B169" s="1" t="n">
        <v>45952.65550925926</v>
      </c>
      <c r="C169" s="1" t="n">
        <v>46150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52108-2025</t>
        </is>
      </c>
      <c r="B170" s="1" t="n">
        <v>45952.6910300926</v>
      </c>
      <c r="C170" s="1" t="n">
        <v>46150</v>
      </c>
      <c r="D170" t="inlineStr">
        <is>
          <t>VÄSTRA GÖTALANDS LÄN</t>
        </is>
      </c>
      <c r="E170" t="inlineStr">
        <is>
          <t>BOLLEBYGD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52077-2025</t>
        </is>
      </c>
      <c r="B171" s="1" t="n">
        <v>45952.65769675926</v>
      </c>
      <c r="C171" s="1" t="n">
        <v>46150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51613-2025</t>
        </is>
      </c>
      <c r="B172" s="1" t="n">
        <v>45951.39907407408</v>
      </c>
      <c r="C172" s="1" t="n">
        <v>46150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30637-2023</t>
        </is>
      </c>
      <c r="B173" s="1" t="n">
        <v>45112.46177083333</v>
      </c>
      <c r="C173" s="1" t="n">
        <v>46150</v>
      </c>
      <c r="D173" t="inlineStr">
        <is>
          <t>VÄSTRA GÖTALANDS LÄN</t>
        </is>
      </c>
      <c r="E173" t="inlineStr">
        <is>
          <t>BOLLEBYGD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52370-2025</t>
        </is>
      </c>
      <c r="B174" s="1" t="n">
        <v>45953.88924768518</v>
      </c>
      <c r="C174" s="1" t="n">
        <v>46150</v>
      </c>
      <c r="D174" t="inlineStr">
        <is>
          <t>VÄSTRA GÖTALANDS LÄN</t>
        </is>
      </c>
      <c r="E174" t="inlineStr">
        <is>
          <t>BOLLEBYGD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52511-2025</t>
        </is>
      </c>
      <c r="B175" s="1" t="n">
        <v>45954.50719907408</v>
      </c>
      <c r="C175" s="1" t="n">
        <v>46150</v>
      </c>
      <c r="D175" t="inlineStr">
        <is>
          <t>VÄSTRA GÖTALANDS LÄN</t>
        </is>
      </c>
      <c r="E175" t="inlineStr">
        <is>
          <t>BOLLEBYGD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52371-2025</t>
        </is>
      </c>
      <c r="B176" s="1" t="n">
        <v>45953.89262731482</v>
      </c>
      <c r="C176" s="1" t="n">
        <v>46150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51564-2024</t>
        </is>
      </c>
      <c r="B177" s="1" t="n">
        <v>45604.62042824074</v>
      </c>
      <c r="C177" s="1" t="n">
        <v>46150</v>
      </c>
      <c r="D177" t="inlineStr">
        <is>
          <t>VÄSTRA GÖTALANDS LÄN</t>
        </is>
      </c>
      <c r="E177" t="inlineStr">
        <is>
          <t>BOLLEBYGD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28201-2021</t>
        </is>
      </c>
      <c r="B178" s="1" t="n">
        <v>44355.6369675926</v>
      </c>
      <c r="C178" s="1" t="n">
        <v>46150</v>
      </c>
      <c r="D178" t="inlineStr">
        <is>
          <t>VÄSTRA GÖTALANDS LÄN</t>
        </is>
      </c>
      <c r="E178" t="inlineStr">
        <is>
          <t>BOLLEBYGD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52513-2025</t>
        </is>
      </c>
      <c r="B179" s="1" t="n">
        <v>45954.50944444445</v>
      </c>
      <c r="C179" s="1" t="n">
        <v>46150</v>
      </c>
      <c r="D179" t="inlineStr">
        <is>
          <t>VÄSTRA GÖTALANDS LÄN</t>
        </is>
      </c>
      <c r="E179" t="inlineStr">
        <is>
          <t>BOLLEBYGD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15969-2025</t>
        </is>
      </c>
      <c r="B180" s="1" t="n">
        <v>45749.54825231482</v>
      </c>
      <c r="C180" s="1" t="n">
        <v>46150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11981-2025</t>
        </is>
      </c>
      <c r="B181" s="1" t="n">
        <v>45728</v>
      </c>
      <c r="C181" s="1" t="n">
        <v>46150</v>
      </c>
      <c r="D181" t="inlineStr">
        <is>
          <t>VÄSTRA GÖTALANDS LÄN</t>
        </is>
      </c>
      <c r="E181" t="inlineStr">
        <is>
          <t>BOLLEBYGD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59613-2023</t>
        </is>
      </c>
      <c r="B182" s="1" t="n">
        <v>45254.64126157408</v>
      </c>
      <c r="C182" s="1" t="n">
        <v>46150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52943-2025</t>
        </is>
      </c>
      <c r="B183" s="1" t="n">
        <v>45957.64331018519</v>
      </c>
      <c r="C183" s="1" t="n">
        <v>46150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52939-2025</t>
        </is>
      </c>
      <c r="B184" s="1" t="n">
        <v>45957.63912037037</v>
      </c>
      <c r="C184" s="1" t="n">
        <v>46150</v>
      </c>
      <c r="D184" t="inlineStr">
        <is>
          <t>VÄSTRA GÖTALANDS LÄN</t>
        </is>
      </c>
      <c r="E184" t="inlineStr">
        <is>
          <t>BOLLEBYGD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61318-2023</t>
        </is>
      </c>
      <c r="B185" s="1" t="n">
        <v>45264</v>
      </c>
      <c r="C185" s="1" t="n">
        <v>46150</v>
      </c>
      <c r="D185" t="inlineStr">
        <is>
          <t>VÄSTRA GÖTALANDS LÄN</t>
        </is>
      </c>
      <c r="E185" t="inlineStr">
        <is>
          <t>BOLLEBYGD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52942-2025</t>
        </is>
      </c>
      <c r="B186" s="1" t="n">
        <v>45957.64267361111</v>
      </c>
      <c r="C186" s="1" t="n">
        <v>46150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25938-2021</t>
        </is>
      </c>
      <c r="B187" s="1" t="n">
        <v>44344</v>
      </c>
      <c r="C187" s="1" t="n">
        <v>46150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31746-2023</t>
        </is>
      </c>
      <c r="B188" s="1" t="n">
        <v>45117</v>
      </c>
      <c r="C188" s="1" t="n">
        <v>46150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435-2025</t>
        </is>
      </c>
      <c r="B189" s="1" t="n">
        <v>45664.37454861111</v>
      </c>
      <c r="C189" s="1" t="n">
        <v>46150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28158-2024</t>
        </is>
      </c>
      <c r="B190" s="1" t="n">
        <v>45476.93028935185</v>
      </c>
      <c r="C190" s="1" t="n">
        <v>46150</v>
      </c>
      <c r="D190" t="inlineStr">
        <is>
          <t>VÄSTRA GÖTALANDS LÄN</t>
        </is>
      </c>
      <c r="E190" t="inlineStr">
        <is>
          <t>BOLLEBYGD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31711-2023</t>
        </is>
      </c>
      <c r="B191" s="1" t="n">
        <v>45117.82019675926</v>
      </c>
      <c r="C191" s="1" t="n">
        <v>46150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31727-2023</t>
        </is>
      </c>
      <c r="B192" s="1" t="n">
        <v>45117</v>
      </c>
      <c r="C192" s="1" t="n">
        <v>46150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31728-2023</t>
        </is>
      </c>
      <c r="B193" s="1" t="n">
        <v>45117</v>
      </c>
      <c r="C193" s="1" t="n">
        <v>46150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51314-2023</t>
        </is>
      </c>
      <c r="B194" s="1" t="n">
        <v>45219</v>
      </c>
      <c r="C194" s="1" t="n">
        <v>46150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50647-2021</t>
        </is>
      </c>
      <c r="B195" s="1" t="n">
        <v>44459</v>
      </c>
      <c r="C195" s="1" t="n">
        <v>46150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36650-2025</t>
        </is>
      </c>
      <c r="B196" s="1" t="n">
        <v>45872.58658564815</v>
      </c>
      <c r="C196" s="1" t="n">
        <v>46150</v>
      </c>
      <c r="D196" t="inlineStr">
        <is>
          <t>VÄSTRA GÖTALANDS LÄN</t>
        </is>
      </c>
      <c r="E196" t="inlineStr">
        <is>
          <t>BOLLEBYGD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47980-2023</t>
        </is>
      </c>
      <c r="B197" s="1" t="n">
        <v>45204</v>
      </c>
      <c r="C197" s="1" t="n">
        <v>46150</v>
      </c>
      <c r="D197" t="inlineStr">
        <is>
          <t>VÄSTRA GÖTALANDS LÄN</t>
        </is>
      </c>
      <c r="E197" t="inlineStr">
        <is>
          <t>BOLLEBYGD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45974.61175925926</v>
      </c>
      <c r="C198" s="1" t="n">
        <v>46150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8570-2025</t>
        </is>
      </c>
      <c r="B199" s="1" t="n">
        <v>45709.64003472222</v>
      </c>
      <c r="C199" s="1" t="n">
        <v>46150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56312-2025</t>
        </is>
      </c>
      <c r="B200" s="1" t="n">
        <v>45974.62810185185</v>
      </c>
      <c r="C200" s="1" t="n">
        <v>46150</v>
      </c>
      <c r="D200" t="inlineStr">
        <is>
          <t>VÄSTRA GÖTALANDS LÄN</t>
        </is>
      </c>
      <c r="E200" t="inlineStr">
        <is>
          <t>BOLLEBYGD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18337-2023</t>
        </is>
      </c>
      <c r="B201" s="1" t="n">
        <v>45041</v>
      </c>
      <c r="C201" s="1" t="n">
        <v>46150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38108-2025</t>
        </is>
      </c>
      <c r="B202" s="1" t="n">
        <v>45882.5039699074</v>
      </c>
      <c r="C202" s="1" t="n">
        <v>46150</v>
      </c>
      <c r="D202" t="inlineStr">
        <is>
          <t>VÄSTRA GÖTALANDS LÄN</t>
        </is>
      </c>
      <c r="E202" t="inlineStr">
        <is>
          <t>BOLLEBYGD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22541-2023</t>
        </is>
      </c>
      <c r="B203" s="1" t="n">
        <v>45071</v>
      </c>
      <c r="C203" s="1" t="n">
        <v>46150</v>
      </c>
      <c r="D203" t="inlineStr">
        <is>
          <t>VÄSTRA GÖTALANDS LÄN</t>
        </is>
      </c>
      <c r="E203" t="inlineStr">
        <is>
          <t>BOLLEBYGD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58139-2025</t>
        </is>
      </c>
      <c r="B204" s="1" t="n">
        <v>45982.62479166667</v>
      </c>
      <c r="C204" s="1" t="n">
        <v>46150</v>
      </c>
      <c r="D204" t="inlineStr">
        <is>
          <t>VÄSTRA GÖTALANDS LÄN</t>
        </is>
      </c>
      <c r="E204" t="inlineStr">
        <is>
          <t>BOLLEBYGD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40202-2021</t>
        </is>
      </c>
      <c r="B205" s="1" t="n">
        <v>44418</v>
      </c>
      <c r="C205" s="1" t="n">
        <v>46150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58137-2025</t>
        </is>
      </c>
      <c r="B206" s="1" t="n">
        <v>45982.62140046297</v>
      </c>
      <c r="C206" s="1" t="n">
        <v>46150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31546-2022</t>
        </is>
      </c>
      <c r="B207" s="1" t="n">
        <v>44775</v>
      </c>
      <c r="C207" s="1" t="n">
        <v>46150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67455-2021</t>
        </is>
      </c>
      <c r="B208" s="1" t="n">
        <v>44524.38003472222</v>
      </c>
      <c r="C208" s="1" t="n">
        <v>46150</v>
      </c>
      <c r="D208" t="inlineStr">
        <is>
          <t>VÄSTRA GÖTALANDS LÄN</t>
        </is>
      </c>
      <c r="E208" t="inlineStr">
        <is>
          <t>BOLLEBYGD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30628-2023</t>
        </is>
      </c>
      <c r="B209" s="1" t="n">
        <v>45112.44275462963</v>
      </c>
      <c r="C209" s="1" t="n">
        <v>46150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30643-2023</t>
        </is>
      </c>
      <c r="B210" s="1" t="n">
        <v>45112.47034722222</v>
      </c>
      <c r="C210" s="1" t="n">
        <v>46150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59871-2025</t>
        </is>
      </c>
      <c r="B211" s="1" t="n">
        <v>45992.92416666666</v>
      </c>
      <c r="C211" s="1" t="n">
        <v>46150</v>
      </c>
      <c r="D211" t="inlineStr">
        <is>
          <t>VÄSTRA GÖTALANDS LÄN</t>
        </is>
      </c>
      <c r="E211" t="inlineStr">
        <is>
          <t>BOLLEBYGD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60091-2025</t>
        </is>
      </c>
      <c r="B212" s="1" t="n">
        <v>45993.72268518519</v>
      </c>
      <c r="C212" s="1" t="n">
        <v>46150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60092-2025</t>
        </is>
      </c>
      <c r="B213" s="1" t="n">
        <v>45993.72543981481</v>
      </c>
      <c r="C213" s="1" t="n">
        <v>46150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60089-2025</t>
        </is>
      </c>
      <c r="B214" s="1" t="n">
        <v>45993.72018518519</v>
      </c>
      <c r="C214" s="1" t="n">
        <v>46150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60093-2025</t>
        </is>
      </c>
      <c r="B215" s="1" t="n">
        <v>45993.72949074074</v>
      </c>
      <c r="C215" s="1" t="n">
        <v>46150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59872-2025</t>
        </is>
      </c>
      <c r="B216" s="1" t="n">
        <v>45992.93340277778</v>
      </c>
      <c r="C216" s="1" t="n">
        <v>46150</v>
      </c>
      <c r="D216" t="inlineStr">
        <is>
          <t>VÄSTRA GÖTALANDS LÄN</t>
        </is>
      </c>
      <c r="E216" t="inlineStr">
        <is>
          <t>BOLLEBYGD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60181-2025</t>
        </is>
      </c>
      <c r="B217" s="1" t="n">
        <v>45994.46494212963</v>
      </c>
      <c r="C217" s="1" t="n">
        <v>46150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60376-2025</t>
        </is>
      </c>
      <c r="B218" s="1" t="n">
        <v>45995.36325231481</v>
      </c>
      <c r="C218" s="1" t="n">
        <v>46150</v>
      </c>
      <c r="D218" t="inlineStr">
        <is>
          <t>VÄSTRA GÖTALANDS LÄN</t>
        </is>
      </c>
      <c r="E218" t="inlineStr">
        <is>
          <t>BOLLEBYGD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60380-2025</t>
        </is>
      </c>
      <c r="B219" s="1" t="n">
        <v>45995.36851851852</v>
      </c>
      <c r="C219" s="1" t="n">
        <v>46150</v>
      </c>
      <c r="D219" t="inlineStr">
        <is>
          <t>VÄSTRA GÖTALANDS LÄN</t>
        </is>
      </c>
      <c r="E219" t="inlineStr">
        <is>
          <t>BOLLEBYGD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55159-2024</t>
        </is>
      </c>
      <c r="B220" s="1" t="n">
        <v>45621.50773148148</v>
      </c>
      <c r="C220" s="1" t="n">
        <v>46150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60946-2025</t>
        </is>
      </c>
      <c r="B221" s="1" t="n">
        <v>45999.64741898148</v>
      </c>
      <c r="C221" s="1" t="n">
        <v>46150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2497-2026</t>
        </is>
      </c>
      <c r="B222" s="1" t="n">
        <v>46037.40177083333</v>
      </c>
      <c r="C222" s="1" t="n">
        <v>46150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4119-2026</t>
        </is>
      </c>
      <c r="B223" s="1" t="n">
        <v>46044.6099537037</v>
      </c>
      <c r="C223" s="1" t="n">
        <v>46150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10610-2025</t>
        </is>
      </c>
      <c r="B224" s="1" t="n">
        <v>45721.59978009259</v>
      </c>
      <c r="C224" s="1" t="n">
        <v>46150</v>
      </c>
      <c r="D224" t="inlineStr">
        <is>
          <t>VÄSTRA GÖTALANDS LÄN</t>
        </is>
      </c>
      <c r="E224" t="inlineStr">
        <is>
          <t>BOLLEBYGD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6064-2025</t>
        </is>
      </c>
      <c r="B225" s="1" t="n">
        <v>45696.28527777778</v>
      </c>
      <c r="C225" s="1" t="n">
        <v>46150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46150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4587-2026</t>
        </is>
      </c>
      <c r="B227" s="1" t="n">
        <v>46048.33873842593</v>
      </c>
      <c r="C227" s="1" t="n">
        <v>46150</v>
      </c>
      <c r="D227" t="inlineStr">
        <is>
          <t>VÄSTRA GÖTALANDS LÄN</t>
        </is>
      </c>
      <c r="E227" t="inlineStr">
        <is>
          <t>BOLLEBYGD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4588-2026</t>
        </is>
      </c>
      <c r="B228" s="1" t="n">
        <v>46048.34140046296</v>
      </c>
      <c r="C228" s="1" t="n">
        <v>46150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46150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64003-2025</t>
        </is>
      </c>
      <c r="B230" s="1" t="n">
        <v>46021.40840277778</v>
      </c>
      <c r="C230" s="1" t="n">
        <v>46150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64005-2025</t>
        </is>
      </c>
      <c r="B231" s="1" t="n">
        <v>46021.41178240741</v>
      </c>
      <c r="C231" s="1" t="n">
        <v>46150</v>
      </c>
      <c r="D231" t="inlineStr">
        <is>
          <t>VÄSTRA GÖTALANDS LÄN</t>
        </is>
      </c>
      <c r="E231" t="inlineStr">
        <is>
          <t>BOLLEBYGD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6071-2026</t>
        </is>
      </c>
      <c r="B232" s="1" t="n">
        <v>46052.66287037037</v>
      </c>
      <c r="C232" s="1" t="n">
        <v>46150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6074-2026</t>
        </is>
      </c>
      <c r="B233" s="1" t="n">
        <v>46052.66378472222</v>
      </c>
      <c r="C233" s="1" t="n">
        <v>46150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6104-2026</t>
        </is>
      </c>
      <c r="B234" s="1" t="n">
        <v>46052.94945601852</v>
      </c>
      <c r="C234" s="1" t="n">
        <v>46150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6103-2026</t>
        </is>
      </c>
      <c r="B235" s="1" t="n">
        <v>46052.9485300926</v>
      </c>
      <c r="C235" s="1" t="n">
        <v>46150</v>
      </c>
      <c r="D235" t="inlineStr">
        <is>
          <t>VÄSTRA GÖTALANDS LÄN</t>
        </is>
      </c>
      <c r="E235" t="inlineStr">
        <is>
          <t>BOLLEBYGD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54144-2022</t>
        </is>
      </c>
      <c r="B236" s="1" t="n">
        <v>44881</v>
      </c>
      <c r="C236" s="1" t="n">
        <v>46150</v>
      </c>
      <c r="D236" t="inlineStr">
        <is>
          <t>VÄSTRA GÖTALANDS LÄN</t>
        </is>
      </c>
      <c r="E236" t="inlineStr">
        <is>
          <t>BOLLEBYGD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2006-2024</t>
        </is>
      </c>
      <c r="B237" s="1" t="n">
        <v>45308</v>
      </c>
      <c r="C237" s="1" t="n">
        <v>46150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7546-2026</t>
        </is>
      </c>
      <c r="B238" s="1" t="n">
        <v>46059.67181712963</v>
      </c>
      <c r="C238" s="1" t="n">
        <v>46150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61671-2022</t>
        </is>
      </c>
      <c r="B239" s="1" t="n">
        <v>44917.3327662037</v>
      </c>
      <c r="C239" s="1" t="n">
        <v>46150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51229-2022</t>
        </is>
      </c>
      <c r="B240" s="1" t="n">
        <v>44868</v>
      </c>
      <c r="C240" s="1" t="n">
        <v>46150</v>
      </c>
      <c r="D240" t="inlineStr">
        <is>
          <t>VÄSTRA GÖTALANDS LÄN</t>
        </is>
      </c>
      <c r="E240" t="inlineStr">
        <is>
          <t>BOLLEBYGD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61334-2022</t>
        </is>
      </c>
      <c r="B241" s="1" t="n">
        <v>44915</v>
      </c>
      <c r="C241" s="1" t="n">
        <v>46150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30793-2023</t>
        </is>
      </c>
      <c r="B242" s="1" t="n">
        <v>45112.74090277778</v>
      </c>
      <c r="C242" s="1" t="n">
        <v>46150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30795-2023</t>
        </is>
      </c>
      <c r="B243" s="1" t="n">
        <v>45112.75636574074</v>
      </c>
      <c r="C243" s="1" t="n">
        <v>46150</v>
      </c>
      <c r="D243" t="inlineStr">
        <is>
          <t>VÄSTRA GÖTALANDS LÄN</t>
        </is>
      </c>
      <c r="E243" t="inlineStr">
        <is>
          <t>BOLLEBYGD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30724-2023</t>
        </is>
      </c>
      <c r="B244" s="1" t="n">
        <v>45112</v>
      </c>
      <c r="C244" s="1" t="n">
        <v>46150</v>
      </c>
      <c r="D244" t="inlineStr">
        <is>
          <t>VÄSTRA GÖTALANDS LÄN</t>
        </is>
      </c>
      <c r="E244" t="inlineStr">
        <is>
          <t>BOLLEBYGD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54311-2022</t>
        </is>
      </c>
      <c r="B245" s="1" t="n">
        <v>44882.41185185185</v>
      </c>
      <c r="C245" s="1" t="n">
        <v>46150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56334-2024</t>
        </is>
      </c>
      <c r="B246" s="1" t="n">
        <v>45624.80081018519</v>
      </c>
      <c r="C246" s="1" t="n">
        <v>46150</v>
      </c>
      <c r="D246" t="inlineStr">
        <is>
          <t>VÄSTRA GÖTALANDS LÄN</t>
        </is>
      </c>
      <c r="E246" t="inlineStr">
        <is>
          <t>BOLLEBYGD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61026-2022</t>
        </is>
      </c>
      <c r="B247" s="1" t="n">
        <v>44914.8635300926</v>
      </c>
      <c r="C247" s="1" t="n">
        <v>46150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63725-2023</t>
        </is>
      </c>
      <c r="B248" s="1" t="n">
        <v>45276</v>
      </c>
      <c r="C248" s="1" t="n">
        <v>46150</v>
      </c>
      <c r="D248" t="inlineStr">
        <is>
          <t>VÄSTRA GÖTALANDS LÄN</t>
        </is>
      </c>
      <c r="E248" t="inlineStr">
        <is>
          <t>BOLLEBYGD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9527-2023</t>
        </is>
      </c>
      <c r="B249" s="1" t="n">
        <v>44981</v>
      </c>
      <c r="C249" s="1" t="n">
        <v>46150</v>
      </c>
      <c r="D249" t="inlineStr">
        <is>
          <t>VÄSTRA GÖTALANDS LÄN</t>
        </is>
      </c>
      <c r="E249" t="inlineStr">
        <is>
          <t>BOLLEBYGD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46150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30762-2023</t>
        </is>
      </c>
      <c r="B251" s="1" t="n">
        <v>45112</v>
      </c>
      <c r="C251" s="1" t="n">
        <v>46150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9920-2026</t>
        </is>
      </c>
      <c r="B252" s="1" t="n">
        <v>46073.44409722222</v>
      </c>
      <c r="C252" s="1" t="n">
        <v>46150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10802-2026</t>
        </is>
      </c>
      <c r="B253" s="1" t="n">
        <v>46078.59950231481</v>
      </c>
      <c r="C253" s="1" t="n">
        <v>46150</v>
      </c>
      <c r="D253" t="inlineStr">
        <is>
          <t>VÄSTRA GÖTALANDS LÄN</t>
        </is>
      </c>
      <c r="E253" t="inlineStr">
        <is>
          <t>BOLLEBYGD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38586-2023</t>
        </is>
      </c>
      <c r="B254" s="1" t="n">
        <v>45162.63375</v>
      </c>
      <c r="C254" s="1" t="n">
        <v>46150</v>
      </c>
      <c r="D254" t="inlineStr">
        <is>
          <t>VÄSTRA GÖTALANDS LÄN</t>
        </is>
      </c>
      <c r="E254" t="inlineStr">
        <is>
          <t>BOLLEBYGD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17434-2026</t>
        </is>
      </c>
      <c r="B255" s="1" t="n">
        <v>46120</v>
      </c>
      <c r="C255" s="1" t="n">
        <v>46150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30772-2023</t>
        </is>
      </c>
      <c r="B256" s="1" t="n">
        <v>45112</v>
      </c>
      <c r="C256" s="1" t="n">
        <v>46150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11795-2023</t>
        </is>
      </c>
      <c r="B257" s="1" t="n">
        <v>44994</v>
      </c>
      <c r="C257" s="1" t="n">
        <v>46150</v>
      </c>
      <c r="D257" t="inlineStr">
        <is>
          <t>VÄSTRA GÖTALANDS LÄN</t>
        </is>
      </c>
      <c r="E257" t="inlineStr">
        <is>
          <t>BOLLEBYGD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35491-2023</t>
        </is>
      </c>
      <c r="B258" s="1" t="n">
        <v>45146</v>
      </c>
      <c r="C258" s="1" t="n">
        <v>46150</v>
      </c>
      <c r="D258" t="inlineStr">
        <is>
          <t>VÄSTRA GÖTALANDS LÄN</t>
        </is>
      </c>
      <c r="E258" t="inlineStr">
        <is>
          <t>BOLLEBYGD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HYPERLINK("https://klasma.github.io/Logging_1443/knärot/A 35491-2023 karta knärot.png", "A 35491-2023")</f>
        <v/>
      </c>
      <c r="V258">
        <f>HYPERLINK("https://klasma.github.io/Logging_1443/klagomål/A 35491-2023 FSC-klagomål.docx", "A 35491-2023")</f>
        <v/>
      </c>
      <c r="W258">
        <f>HYPERLINK("https://klasma.github.io/Logging_1443/klagomålsmail/A 35491-2023 FSC-klagomål mail.docx", "A 35491-2023")</f>
        <v/>
      </c>
      <c r="X258">
        <f>HYPERLINK("https://klasma.github.io/Logging_1443/tillsyn/A 35491-2023 tillsynsbegäran.docx", "A 35491-2023")</f>
        <v/>
      </c>
      <c r="Y258">
        <f>HYPERLINK("https://klasma.github.io/Logging_1443/tillsynsmail/A 35491-2023 tillsynsbegäran mail.docx", "A 35491-2023")</f>
        <v/>
      </c>
    </row>
    <row r="259" ht="15" customHeight="1">
      <c r="A259" t="inlineStr">
        <is>
          <t>A 11584-2026</t>
        </is>
      </c>
      <c r="B259" s="1" t="n">
        <v>46084.40871527778</v>
      </c>
      <c r="C259" s="1" t="n">
        <v>46150</v>
      </c>
      <c r="D259" t="inlineStr">
        <is>
          <t>VÄSTRA GÖTALANDS LÄN</t>
        </is>
      </c>
      <c r="E259" t="inlineStr">
        <is>
          <t>BOLLEBYGD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18305-2025</t>
        </is>
      </c>
      <c r="B260" s="1" t="n">
        <v>45762.43462962963</v>
      </c>
      <c r="C260" s="1" t="n">
        <v>46150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18822-2026</t>
        </is>
      </c>
      <c r="B261" s="1" t="n">
        <v>46128.66459490741</v>
      </c>
      <c r="C261" s="1" t="n">
        <v>46150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52100-2023</t>
        </is>
      </c>
      <c r="B262" s="1" t="n">
        <v>45223</v>
      </c>
      <c r="C262" s="1" t="n">
        <v>46150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2398-2024</t>
        </is>
      </c>
      <c r="B263" s="1" t="n">
        <v>45310</v>
      </c>
      <c r="C263" s="1" t="n">
        <v>46150</v>
      </c>
      <c r="D263" t="inlineStr">
        <is>
          <t>VÄSTRA GÖTALANDS LÄN</t>
        </is>
      </c>
      <c r="E263" t="inlineStr">
        <is>
          <t>BOLLEBYGD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38074-2023</t>
        </is>
      </c>
      <c r="B264" s="1" t="n">
        <v>45160.78711805555</v>
      </c>
      <c r="C264" s="1" t="n">
        <v>46150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12469-2026</t>
        </is>
      </c>
      <c r="B265" s="1" t="n">
        <v>46090.5393287037</v>
      </c>
      <c r="C265" s="1" t="n">
        <v>46150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50981-2023</t>
        </is>
      </c>
      <c r="B266" s="1" t="n">
        <v>45218.52822916667</v>
      </c>
      <c r="C266" s="1" t="n">
        <v>46150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12503-2026</t>
        </is>
      </c>
      <c r="B267" s="1" t="n">
        <v>46090.57736111111</v>
      </c>
      <c r="C267" s="1" t="n">
        <v>46150</v>
      </c>
      <c r="D267" t="inlineStr">
        <is>
          <t>VÄSTRA GÖTALANDS LÄN</t>
        </is>
      </c>
      <c r="E267" t="inlineStr">
        <is>
          <t>BOLLEBYGD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58093-2023</t>
        </is>
      </c>
      <c r="B268" s="1" t="n">
        <v>45248</v>
      </c>
      <c r="C268" s="1" t="n">
        <v>46150</v>
      </c>
      <c r="D268" t="inlineStr">
        <is>
          <t>VÄSTRA GÖTALANDS LÄN</t>
        </is>
      </c>
      <c r="E268" t="inlineStr">
        <is>
          <t>BOLLEBYGD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64207-2021</t>
        </is>
      </c>
      <c r="B269" s="1" t="n">
        <v>44510.61469907407</v>
      </c>
      <c r="C269" s="1" t="n">
        <v>46150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13115-2026</t>
        </is>
      </c>
      <c r="B270" s="1" t="n">
        <v>46093.43960648148</v>
      </c>
      <c r="C270" s="1" t="n">
        <v>46150</v>
      </c>
      <c r="D270" t="inlineStr">
        <is>
          <t>VÄSTRA GÖTALANDS LÄN</t>
        </is>
      </c>
      <c r="E270" t="inlineStr">
        <is>
          <t>BOLLEBYGD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13120-2026</t>
        </is>
      </c>
      <c r="B271" s="1" t="n">
        <v>46093.45018518518</v>
      </c>
      <c r="C271" s="1" t="n">
        <v>46150</v>
      </c>
      <c r="D271" t="inlineStr">
        <is>
          <t>VÄSTRA GÖTALANDS LÄN</t>
        </is>
      </c>
      <c r="E271" t="inlineStr">
        <is>
          <t>BOLLEBYGD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13121-2026</t>
        </is>
      </c>
      <c r="B272" s="1" t="n">
        <v>46093.45635416666</v>
      </c>
      <c r="C272" s="1" t="n">
        <v>46150</v>
      </c>
      <c r="D272" t="inlineStr">
        <is>
          <t>VÄSTRA GÖTALANDS LÄN</t>
        </is>
      </c>
      <c r="E272" t="inlineStr">
        <is>
          <t>BOLLEBYGD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12879-2026</t>
        </is>
      </c>
      <c r="B273" s="1" t="n">
        <v>46092.53091435185</v>
      </c>
      <c r="C273" s="1" t="n">
        <v>46150</v>
      </c>
      <c r="D273" t="inlineStr">
        <is>
          <t>VÄSTRA GÖTALANDS LÄN</t>
        </is>
      </c>
      <c r="E273" t="inlineStr">
        <is>
          <t>BOLLEBYGD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12877-2026</t>
        </is>
      </c>
      <c r="B274" s="1" t="n">
        <v>46092.52090277777</v>
      </c>
      <c r="C274" s="1" t="n">
        <v>46150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54783-2025</t>
        </is>
      </c>
      <c r="B275" s="1" t="n">
        <v>45966.61938657407</v>
      </c>
      <c r="C275" s="1" t="n">
        <v>46150</v>
      </c>
      <c r="D275" t="inlineStr">
        <is>
          <t>VÄSTRA GÖTALANDS LÄN</t>
        </is>
      </c>
      <c r="E275" t="inlineStr">
        <is>
          <t>BOLLEBYGD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12124-2024</t>
        </is>
      </c>
      <c r="B276" s="1" t="n">
        <v>45377</v>
      </c>
      <c r="C276" s="1" t="n">
        <v>46150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59493-2025</t>
        </is>
      </c>
      <c r="B277" s="1" t="n">
        <v>45989.60912037037</v>
      </c>
      <c r="C277" s="1" t="n">
        <v>46150</v>
      </c>
      <c r="D277" t="inlineStr">
        <is>
          <t>VÄSTRA GÖTALANDS LÄN</t>
        </is>
      </c>
      <c r="E277" t="inlineStr">
        <is>
          <t>BOLLEBYGD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20600-2026</t>
        </is>
      </c>
      <c r="B278" s="1" t="n">
        <v>46140.66877314815</v>
      </c>
      <c r="C278" s="1" t="n">
        <v>46150</v>
      </c>
      <c r="D278" t="inlineStr">
        <is>
          <t>VÄSTRA GÖTALANDS LÄN</t>
        </is>
      </c>
      <c r="E278" t="inlineStr">
        <is>
          <t>BOLLEBYGD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14111-2026</t>
        </is>
      </c>
      <c r="B279" s="1" t="n">
        <v>46099.42516203703</v>
      </c>
      <c r="C279" s="1" t="n">
        <v>46150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19644-2026</t>
        </is>
      </c>
      <c r="B280" s="1" t="n">
        <v>46134.58042824074</v>
      </c>
      <c r="C280" s="1" t="n">
        <v>46150</v>
      </c>
      <c r="D280" t="inlineStr">
        <is>
          <t>VÄSTRA GÖTALANDS LÄN</t>
        </is>
      </c>
      <c r="E280" t="inlineStr">
        <is>
          <t>BOLLEBYGD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20782-2026</t>
        </is>
      </c>
      <c r="B281" s="1" t="n">
        <v>46141.63525462963</v>
      </c>
      <c r="C281" s="1" t="n">
        <v>46150</v>
      </c>
      <c r="D281" t="inlineStr">
        <is>
          <t>VÄSTRA GÖTALANDS LÄN</t>
        </is>
      </c>
      <c r="E281" t="inlineStr">
        <is>
          <t>BOLLEBYGD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20598-2026</t>
        </is>
      </c>
      <c r="B282" s="1" t="n">
        <v>46140.66478009259</v>
      </c>
      <c r="C282" s="1" t="n">
        <v>46150</v>
      </c>
      <c r="D282" t="inlineStr">
        <is>
          <t>VÄSTRA GÖTALANDS LÄN</t>
        </is>
      </c>
      <c r="E282" t="inlineStr">
        <is>
          <t>BOLLEBYGD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14545-2026</t>
        </is>
      </c>
      <c r="B283" s="1" t="n">
        <v>46100</v>
      </c>
      <c r="C283" s="1" t="n">
        <v>46150</v>
      </c>
      <c r="D283" t="inlineStr">
        <is>
          <t>VÄSTRA GÖTALANDS LÄN</t>
        </is>
      </c>
      <c r="E283" t="inlineStr">
        <is>
          <t>BOLLEBYGD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58011-2022</t>
        </is>
      </c>
      <c r="B284" s="1" t="n">
        <v>44900</v>
      </c>
      <c r="C284" s="1" t="n">
        <v>46150</v>
      </c>
      <c r="D284" t="inlineStr">
        <is>
          <t>VÄSTRA GÖTALANDS LÄN</t>
        </is>
      </c>
      <c r="E284" t="inlineStr">
        <is>
          <t>BOLLEBYGD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56452-2022</t>
        </is>
      </c>
      <c r="B285" s="1" t="n">
        <v>44893.2884375</v>
      </c>
      <c r="C285" s="1" t="n">
        <v>46150</v>
      </c>
      <c r="D285" t="inlineStr">
        <is>
          <t>VÄSTRA GÖTALANDS LÄN</t>
        </is>
      </c>
      <c r="E285" t="inlineStr">
        <is>
          <t>BOLLEBYGD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58010-2022</t>
        </is>
      </c>
      <c r="B286" s="1" t="n">
        <v>44900</v>
      </c>
      <c r="C286" s="1" t="n">
        <v>46150</v>
      </c>
      <c r="D286" t="inlineStr">
        <is>
          <t>VÄSTRA GÖTALANDS LÄN</t>
        </is>
      </c>
      <c r="E286" t="inlineStr">
        <is>
          <t>BOLLEBYGD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18687-2026</t>
        </is>
      </c>
      <c r="B287" s="1" t="n">
        <v>46128</v>
      </c>
      <c r="C287" s="1" t="n">
        <v>46150</v>
      </c>
      <c r="D287" t="inlineStr">
        <is>
          <t>VÄSTRA GÖTALANDS LÄN</t>
        </is>
      </c>
      <c r="E287" t="inlineStr">
        <is>
          <t>BOLLEBYGD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2026-05-08T10:54:48Z</dcterms:created>
  <dcterms:modified xmlns:dcterms="http://purl.org/dc/terms/" xmlns:xsi="http://www.w3.org/2001/XMLSchema-instance" xsi:type="dcterms:W3CDTF">2026-05-08T10:54:48Z</dcterms:modified>
</cp:coreProperties>
</file>