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46318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46318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46318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46318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46318</v>
      </c>
      <c r="F7" t="inlineStr">
        <is>
          <t>VÄSTRA GÖTALANDS LÄN</t>
        </is>
      </c>
      <c r="G7" t="inlineStr">
        <is>
          <t>BOLLEBYGD</t>
        </is>
      </c>
      <c r="I7" t="n">
        <v>6.2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10</v>
      </c>
      <c r="U7" t="n">
        <v>8</v>
      </c>
      <c r="V7" s="2" t="inlineStr">
        <is>
          <t>Oxtungssvamp
Vågbandad barkbock
Tofsmes
Svartvit flugsnappare
Grönvit nattviol</t>
        </is>
      </c>
      <c r="W7">
        <f>HYPERLINK("https://klasma.github.io/Logging_1443/artfynd/A 30777-2023 artfynd.xlsx", "A 30777-2023")</f>
        <v/>
      </c>
      <c r="X7">
        <f>HYPERLINK("https://klasma.github.io/Logging_1443/kartor/A 30777-2023 karta.png", "A 30777-2023")</f>
        <v/>
      </c>
      <c r="Y7">
        <f>HYPERLINK("https://klasma.github.io/Logging_1443/kartor_geotiff/A 30777-2023 georefererad karta.tif", "A 30777-2023")</f>
        <v/>
      </c>
      <c r="AA7">
        <f>HYPERLINK("https://klasma.github.io/Logging_1443/klagomål/A 30777-2023 FSC-klagomål.docx", "A 30777-2023")</f>
        <v/>
      </c>
      <c r="AB7">
        <f>HYPERLINK("https://klasma.github.io/Logging_1443/klagomålsmail/A 30777-2023 FSC-klagomål mail.docx", "A 30777-2023")</f>
        <v/>
      </c>
      <c r="AC7">
        <f>HYPERLINK("https://klasma.github.io/Logging_1443/tillsyn/A 30777-2023 tillsynsbegäran.docx", "A 30777-2023")</f>
        <v/>
      </c>
      <c r="AD7">
        <f>HYPERLINK("https://klasma.github.io/Logging_1443/tillsynsmail/A 30777-2023 tillsynsbegäran mail.docx", "A 30777-2023")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46318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46318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46318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46318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31728-2023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46318</v>
      </c>
      <c r="F12" t="inlineStr">
        <is>
          <t>VÄSTRA GÖTALANDS LÄN</t>
        </is>
      </c>
      <c r="G12" t="inlineStr">
        <is>
          <t>BOLLEBYGD</t>
        </is>
      </c>
      <c r="I12" t="n">
        <v>0.6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Gammelgransskål
Kattfotslav
Spillkråka</t>
        </is>
      </c>
      <c r="W12">
        <f>HYPERLINK("https://klasma.github.io/Logging_1443/artfynd/A 31728-2023 artfynd.xlsx", "A 31728-2023")</f>
        <v/>
      </c>
      <c r="X12">
        <f>HYPERLINK("https://klasma.github.io/Logging_1443/kartor/A 31728-2023 karta.png", "A 31728-2023")</f>
        <v/>
      </c>
      <c r="Y12">
        <f>HYPERLINK("https://klasma.github.io/Logging_1443/kartor_geotiff/A 31728-2023 georefererad karta.tif", "A 31728-2023")</f>
        <v/>
      </c>
      <c r="AA12">
        <f>HYPERLINK("https://klasma.github.io/Logging_1443/klagomål/A 31728-2023 FSC-klagomål.docx", "A 31728-2023")</f>
        <v/>
      </c>
      <c r="AB12">
        <f>HYPERLINK("https://klasma.github.io/Logging_1443/klagomålsmail/A 31728-2023 FSC-klagomål mail.docx", "A 31728-2023")</f>
        <v/>
      </c>
      <c r="AC12">
        <f>HYPERLINK("https://klasma.github.io/Logging_1443/tillsyn/A 31728-2023 tillsynsbegäran.docx", "A 31728-2023")</f>
        <v/>
      </c>
      <c r="AD12">
        <f>HYPERLINK("https://klasma.github.io/Logging_1443/tillsynsmail/A 31728-2023 tillsynsbegäran mail.docx", "A 31728-2023")</f>
        <v/>
      </c>
      <c r="AE12">
        <f>HYPERLINK("https://klasma.github.io/Logging_1443/fåglar/A 31728-2023 prioriterade fågelarter.docx", "A 31728-2023")</f>
        <v/>
      </c>
    </row>
    <row r="13" ht="15" customHeight="1">
      <c r="A13" t="inlineStr">
        <is>
          <t>A 31714-2023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46318</v>
      </c>
      <c r="F13" t="inlineStr">
        <is>
          <t>VÄSTRA GÖTALANDS LÄN</t>
        </is>
      </c>
      <c r="G13" t="inlineStr">
        <is>
          <t>BOLLEBYGD</t>
        </is>
      </c>
      <c r="I13" t="n">
        <v>2.4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Spillkråka
Grönsiska</t>
        </is>
      </c>
      <c r="W13">
        <f>HYPERLINK("https://klasma.github.io/Logging_1443/artfynd/A 31714-2023 artfynd.xlsx", "A 31714-2023")</f>
        <v/>
      </c>
      <c r="X13">
        <f>HYPERLINK("https://klasma.github.io/Logging_1443/kartor/A 31714-2023 karta.png", "A 31714-2023")</f>
        <v/>
      </c>
      <c r="Y13">
        <f>HYPERLINK("https://klasma.github.io/Logging_1443/kartor_geotiff/A 31714-2023 georefererad karta.tif", "A 31714-2023")</f>
        <v/>
      </c>
      <c r="AA13">
        <f>HYPERLINK("https://klasma.github.io/Logging_1443/klagomål/A 31714-2023 FSC-klagomål.docx", "A 31714-2023")</f>
        <v/>
      </c>
      <c r="AB13">
        <f>HYPERLINK("https://klasma.github.io/Logging_1443/klagomålsmail/A 31714-2023 FSC-klagomål mail.docx", "A 31714-2023")</f>
        <v/>
      </c>
      <c r="AC13">
        <f>HYPERLINK("https://klasma.github.io/Logging_1443/tillsyn/A 31714-2023 tillsynsbegäran.docx", "A 31714-2023")</f>
        <v/>
      </c>
      <c r="AD13">
        <f>HYPERLINK("https://klasma.github.io/Logging_1443/tillsynsmail/A 31714-2023 tillsynsbegäran mail.docx", "A 31714-2023")</f>
        <v/>
      </c>
      <c r="AE13">
        <f>HYPERLINK("https://klasma.github.io/Logging_1443/fåglar/A 31714-2023 prioriterade fågelarter.docx", "A 31714-2023")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46318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30763-2023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46318</v>
      </c>
      <c r="F15" t="inlineStr">
        <is>
          <t>VÄSTRA GÖTALANDS LÄN</t>
        </is>
      </c>
      <c r="G15" t="inlineStr">
        <is>
          <t>BOLLEBYGD</t>
        </is>
      </c>
      <c r="I15" t="n">
        <v>4.9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Vågbandad barkbock
Spillkråka</t>
        </is>
      </c>
      <c r="W15">
        <f>HYPERLINK("https://klasma.github.io/Logging_1443/artfynd/A 30763-2023 artfynd.xlsx", "A 30763-2023")</f>
        <v/>
      </c>
      <c r="X15">
        <f>HYPERLINK("https://klasma.github.io/Logging_1443/kartor/A 30763-2023 karta.png", "A 30763-2023")</f>
        <v/>
      </c>
      <c r="Y15">
        <f>HYPERLINK("https://klasma.github.io/Logging_1443/kartor_geotiff/A 30763-2023 georefererad karta.tif", "A 30763-2023")</f>
        <v/>
      </c>
      <c r="AA15">
        <f>HYPERLINK("https://klasma.github.io/Logging_1443/klagomål/A 30763-2023 FSC-klagomål.docx", "A 30763-2023")</f>
        <v/>
      </c>
      <c r="AB15">
        <f>HYPERLINK("https://klasma.github.io/Logging_1443/klagomålsmail/A 30763-2023 FSC-klagomål mail.docx", "A 30763-2023")</f>
        <v/>
      </c>
      <c r="AC15">
        <f>HYPERLINK("https://klasma.github.io/Logging_1443/tillsyn/A 30763-2023 tillsynsbegäran.docx", "A 30763-2023")</f>
        <v/>
      </c>
      <c r="AD15">
        <f>HYPERLINK("https://klasma.github.io/Logging_1443/tillsynsmail/A 30763-2023 tillsynsbegäran mail.docx", "A 30763-2023")</f>
        <v/>
      </c>
      <c r="AE15">
        <f>HYPERLINK("https://klasma.github.io/Logging_1443/fåglar/A 30763-2023 prioriterade fågelarter.docx", "A 30763-2023")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46318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46318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13115-2026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46318</v>
      </c>
      <c r="F18" t="inlineStr">
        <is>
          <t>VÄSTRA GÖTALANDS LÄN</t>
        </is>
      </c>
      <c r="G18" t="inlineStr">
        <is>
          <t>BOLLEBYGD</t>
        </is>
      </c>
      <c r="I18" t="n">
        <v>6.5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Mattlummer
Fläcknycklar</t>
        </is>
      </c>
      <c r="W18">
        <f>HYPERLINK("https://klasma.github.io/Logging_1443/artfynd/A 13115-2026 artfynd.xlsx", "A 13115-2026")</f>
        <v/>
      </c>
      <c r="X18">
        <f>HYPERLINK("https://klasma.github.io/Logging_1443/kartor/A 13115-2026 karta.png", "A 13115-2026")</f>
        <v/>
      </c>
      <c r="Y18">
        <f>HYPERLINK("https://klasma.github.io/Logging_1443/kartor_geotiff/A 13115-2026 georefererad karta.tif", "A 13115-2026")</f>
        <v/>
      </c>
      <c r="AA18">
        <f>HYPERLINK("https://klasma.github.io/Logging_1443/klagomål/A 13115-2026 FSC-klagomål.docx", "A 13115-2026")</f>
        <v/>
      </c>
      <c r="AB18">
        <f>HYPERLINK("https://klasma.github.io/Logging_1443/klagomålsmail/A 13115-2026 FSC-klagomål mail.docx", "A 13115-2026")</f>
        <v/>
      </c>
      <c r="AC18">
        <f>HYPERLINK("https://klasma.github.io/Logging_1443/tillsyn/A 13115-2026 tillsynsbegäran.docx", "A 13115-2026")</f>
        <v/>
      </c>
      <c r="AD18">
        <f>HYPERLINK("https://klasma.github.io/Logging_1443/tillsynsmail/A 13115-2026 tillsynsbegäran mail.docx", "A 13115-2026")</f>
        <v/>
      </c>
    </row>
    <row r="19" ht="15" customHeight="1">
      <c r="A19" t="inlineStr">
        <is>
          <t>A 30666-2023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46318</v>
      </c>
      <c r="F19" t="inlineStr">
        <is>
          <t>VÄSTRA GÖTALANDS LÄN</t>
        </is>
      </c>
      <c r="G19" t="inlineStr">
        <is>
          <t>BOLLEBYGD</t>
        </is>
      </c>
      <c r="I19" t="n">
        <v>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Talltita
Tjäder</t>
        </is>
      </c>
      <c r="W19">
        <f>HYPERLINK("https://klasma.github.io/Logging_1443/artfynd/A 30666-2023 artfynd.xlsx", "A 30666-2023")</f>
        <v/>
      </c>
      <c r="X19">
        <f>HYPERLINK("https://klasma.github.io/Logging_1443/kartor/A 30666-2023 karta.png", "A 30666-2023")</f>
        <v/>
      </c>
      <c r="Y19">
        <f>HYPERLINK("https://klasma.github.io/Logging_1443/kartor_geotiff/A 30666-2023 georefererad karta.tif", "A 30666-2023")</f>
        <v/>
      </c>
      <c r="AA19">
        <f>HYPERLINK("https://klasma.github.io/Logging_1443/klagomål/A 30666-2023 FSC-klagomål.docx", "A 30666-2023")</f>
        <v/>
      </c>
      <c r="AB19">
        <f>HYPERLINK("https://klasma.github.io/Logging_1443/klagomålsmail/A 30666-2023 FSC-klagomål mail.docx", "A 30666-2023")</f>
        <v/>
      </c>
      <c r="AC19">
        <f>HYPERLINK("https://klasma.github.io/Logging_1443/tillsyn/A 30666-2023 tillsynsbegäran.docx", "A 30666-2023")</f>
        <v/>
      </c>
      <c r="AD19">
        <f>HYPERLINK("https://klasma.github.io/Logging_1443/tillsynsmail/A 30666-2023 tillsynsbegäran mail.docx", "A 30666-2023")</f>
        <v/>
      </c>
      <c r="AE19">
        <f>HYPERLINK("https://klasma.github.io/Logging_1443/fåglar/A 30666-2023 prioriterade fågelarter.docx", "A 30666-2023")</f>
        <v/>
      </c>
    </row>
    <row r="20" ht="15" customHeight="1">
      <c r="A20" t="inlineStr">
        <is>
          <t>A 9930-2024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45363</v>
      </c>
      <c r="E20" s="1" t="n">
        <v>46318</v>
      </c>
      <c r="F20" t="inlineStr">
        <is>
          <t>VÄSTRA GÖTALANDS LÄN</t>
        </is>
      </c>
      <c r="G20" t="inlineStr">
        <is>
          <t>BOLLEBYGD</t>
        </is>
      </c>
      <c r="I20" t="n">
        <v>4.3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Större träfjäril
Spillkråka</t>
        </is>
      </c>
      <c r="W20">
        <f>HYPERLINK("https://klasma.github.io/Logging_1443/artfynd/A 9930-2024 artfynd.xlsx", "A 9930-2024")</f>
        <v/>
      </c>
      <c r="X20">
        <f>HYPERLINK("https://klasma.github.io/Logging_1443/kartor/A 9930-2024 karta.png", "A 9930-2024")</f>
        <v/>
      </c>
      <c r="Y20">
        <f>HYPERLINK("https://klasma.github.io/Logging_1443/kartor_geotiff/A 9930-2024 georefererad karta.tif", "A 9930-2024")</f>
        <v/>
      </c>
      <c r="AA20">
        <f>HYPERLINK("https://klasma.github.io/Logging_1443/klagomål/A 9930-2024 FSC-klagomål.docx", "A 9930-2024")</f>
        <v/>
      </c>
      <c r="AB20">
        <f>HYPERLINK("https://klasma.github.io/Logging_1443/klagomålsmail/A 9930-2024 FSC-klagomål mail.docx", "A 9930-2024")</f>
        <v/>
      </c>
      <c r="AC20">
        <f>HYPERLINK("https://klasma.github.io/Logging_1443/tillsyn/A 9930-2024 tillsynsbegäran.docx", "A 9930-2024")</f>
        <v/>
      </c>
      <c r="AD20">
        <f>HYPERLINK("https://klasma.github.io/Logging_1443/tillsynsmail/A 9930-2024 tillsynsbegäran mail.docx", "A 9930-2024")</f>
        <v/>
      </c>
      <c r="AE20">
        <f>HYPERLINK("https://klasma.github.io/Logging_1443/fåglar/A 9930-2024 prioriterade fågelarter.docx", "A 9930-2024")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46318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35491-2023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45146</v>
      </c>
      <c r="E22" s="1" t="n">
        <v>46318</v>
      </c>
      <c r="F22" t="inlineStr">
        <is>
          <t>VÄSTRA GÖTALANDS LÄN</t>
        </is>
      </c>
      <c r="G22" t="inlineStr">
        <is>
          <t>BOLLEBYGD</t>
        </is>
      </c>
      <c r="I22" t="n">
        <v>3.5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HYPERLINK("https://klasma.github.io/Logging_1443/artfynd/A 35491-2023 artfynd.xlsx", "A 35491-2023")</f>
        <v/>
      </c>
      <c r="X22">
        <f>HYPERLINK("https://klasma.github.io/Logging_1443/kartor/A 35491-2023 karta.png", "A 35491-2023")</f>
        <v/>
      </c>
      <c r="Y22">
        <f>HYPERLINK("https://klasma.github.io/Logging_1443/kartor_geotiff/A 35491-2023 georefererad karta.tif", "A 35491-2023")</f>
        <v/>
      </c>
      <c r="Z22">
        <f>HYPERLINK("https://klasma.github.io/Logging_1443/knärot/A 35491-2023 karta knärot.png", "A 35491-2023")</f>
        <v/>
      </c>
      <c r="AA22">
        <f>HYPERLINK("https://klasma.github.io/Logging_1443/klagomål/A 35491-2023 FSC-klagomål.docx", "A 35491-2023")</f>
        <v/>
      </c>
      <c r="AB22">
        <f>HYPERLINK("https://klasma.github.io/Logging_1443/klagomålsmail/A 35491-2023 FSC-klagomål mail.docx", "A 35491-2023")</f>
        <v/>
      </c>
      <c r="AC22">
        <f>HYPERLINK("https://klasma.github.io/Logging_1443/tillsyn/A 35491-2023 tillsynsbegäran.docx", "A 35491-2023")</f>
        <v/>
      </c>
      <c r="AD22">
        <f>HYPERLINK("https://klasma.github.io/Logging_1443/tillsynsmail/A 35491-2023 tillsynsbegäran mail.docx", "A 35491-2023")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46318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46318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35526-2023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45147</v>
      </c>
      <c r="E25" s="1" t="n">
        <v>46318</v>
      </c>
      <c r="F25" t="inlineStr">
        <is>
          <t>VÄSTRA GÖTALANDS LÄN</t>
        </is>
      </c>
      <c r="G25" t="inlineStr">
        <is>
          <t>BOLLEBYGD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Vanlig padda</t>
        </is>
      </c>
      <c r="W25">
        <f>HYPERLINK("https://klasma.github.io/Logging_1443/artfynd/A 35526-2023 artfynd.xlsx", "A 35526-2023")</f>
        <v/>
      </c>
      <c r="X25">
        <f>HYPERLINK("https://klasma.github.io/Logging_1443/kartor/A 35526-2023 karta.png", "A 35526-2023")</f>
        <v/>
      </c>
      <c r="Y25">
        <f>HYPERLINK("https://klasma.github.io/Logging_1443/kartor_geotiff/A 35526-2023 georefererad karta.tif", "A 35526-2023")</f>
        <v/>
      </c>
      <c r="AA25">
        <f>HYPERLINK("https://klasma.github.io/Logging_1443/klagomål/A 35526-2023 FSC-klagomål.docx", "A 35526-2023")</f>
        <v/>
      </c>
      <c r="AB25">
        <f>HYPERLINK("https://klasma.github.io/Logging_1443/klagomålsmail/A 35526-2023 FSC-klagomål mail.docx", "A 35526-2023")</f>
        <v/>
      </c>
      <c r="AC25">
        <f>HYPERLINK("https://klasma.github.io/Logging_1443/tillsyn/A 35526-2023 tillsynsbegäran.docx", "A 35526-2023")</f>
        <v/>
      </c>
      <c r="AD25">
        <f>HYPERLINK("https://klasma.github.io/Logging_1443/tillsynsmail/A 35526-2023 tillsynsbegäran mail.docx", "A 35526-2023")</f>
        <v/>
      </c>
    </row>
    <row r="26" ht="15" customHeight="1">
      <c r="A26" t="inlineStr">
        <is>
          <t>A 31742-2023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46318</v>
      </c>
      <c r="F26" t="inlineStr">
        <is>
          <t>VÄSTRA GÖTALANDS LÄN</t>
        </is>
      </c>
      <c r="G26" t="inlineStr">
        <is>
          <t>BOLLEBYGD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HYPERLINK("https://klasma.github.io/Logging_1443/artfynd/A 31742-2023 artfynd.xlsx", "A 31742-2023")</f>
        <v/>
      </c>
      <c r="X26">
        <f>HYPERLINK("https://klasma.github.io/Logging_1443/kartor/A 31742-2023 karta.png", "A 31742-2023")</f>
        <v/>
      </c>
      <c r="Y26">
        <f>HYPERLINK("https://klasma.github.io/Logging_1443/kartor_geotiff/A 31742-2023 georefererad karta.tif", "A 31742-2023")</f>
        <v/>
      </c>
      <c r="AA26">
        <f>HYPERLINK("https://klasma.github.io/Logging_1443/klagomål/A 31742-2023 FSC-klagomål.docx", "A 31742-2023")</f>
        <v/>
      </c>
      <c r="AB26">
        <f>HYPERLINK("https://klasma.github.io/Logging_1443/klagomålsmail/A 31742-2023 FSC-klagomål mail.docx", "A 31742-2023")</f>
        <v/>
      </c>
      <c r="AC26">
        <f>HYPERLINK("https://klasma.github.io/Logging_1443/tillsyn/A 31742-2023 tillsynsbegäran.docx", "A 31742-2023")</f>
        <v/>
      </c>
      <c r="AD26">
        <f>HYPERLINK("https://klasma.github.io/Logging_1443/tillsynsmail/A 31742-2023 tillsynsbegäran mail.docx", "A 31742-2023")</f>
        <v/>
      </c>
      <c r="AE26">
        <f>HYPERLINK("https://klasma.github.io/Logging_1443/fåglar/A 31742-2023 prioriterade fågelarter.docx", "A 31742-2023")</f>
        <v/>
      </c>
    </row>
    <row r="27" ht="15" customHeight="1">
      <c r="A27" t="inlineStr">
        <is>
          <t>A 7339-2025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45703</v>
      </c>
      <c r="E27" s="1" t="n">
        <v>46318</v>
      </c>
      <c r="F27" t="inlineStr">
        <is>
          <t>VÄSTRA GÖTALANDS LÄN</t>
        </is>
      </c>
      <c r="G27" t="inlineStr">
        <is>
          <t>BOLLEBYGD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7339-2025 artfynd.xlsx", "A 7339-2025")</f>
        <v/>
      </c>
      <c r="X27">
        <f>HYPERLINK("https://klasma.github.io/Logging_1443/kartor/A 7339-2025 karta.png", "A 7339-2025")</f>
        <v/>
      </c>
      <c r="Y27">
        <f>HYPERLINK("https://klasma.github.io/Logging_1443/kartor_geotiff/A 7339-2025 georefererad karta.tif", "A 7339-2025")</f>
        <v/>
      </c>
      <c r="AA27">
        <f>HYPERLINK("https://klasma.github.io/Logging_1443/klagomål/A 7339-2025 FSC-klagomål.docx", "A 7339-2025")</f>
        <v/>
      </c>
      <c r="AB27">
        <f>HYPERLINK("https://klasma.github.io/Logging_1443/klagomålsmail/A 7339-2025 FSC-klagomål mail.docx", "A 7339-2025")</f>
        <v/>
      </c>
      <c r="AC27">
        <f>HYPERLINK("https://klasma.github.io/Logging_1443/tillsyn/A 7339-2025 tillsynsbegäran.docx", "A 7339-2025")</f>
        <v/>
      </c>
      <c r="AD27">
        <f>HYPERLINK("https://klasma.github.io/Logging_1443/tillsynsmail/A 7339-2025 tillsynsbegäran mail.docx", "A 7339-2025")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46318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46318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30653-2023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46318</v>
      </c>
      <c r="F30" t="inlineStr">
        <is>
          <t>VÄSTRA GÖTALANDS LÄN</t>
        </is>
      </c>
      <c r="G30" t="inlineStr">
        <is>
          <t>BOLLEBYGD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HYPERLINK("https://klasma.github.io/Logging_1443/artfynd/A 30653-2023 artfynd.xlsx", "A 30653-2023")</f>
        <v/>
      </c>
      <c r="X30">
        <f>HYPERLINK("https://klasma.github.io/Logging_1443/kartor/A 30653-2023 karta.png", "A 30653-2023")</f>
        <v/>
      </c>
      <c r="Y30">
        <f>HYPERLINK("https://klasma.github.io/Logging_1443/kartor_geotiff/A 30653-2023 georefererad karta.tif", "A 30653-2023")</f>
        <v/>
      </c>
      <c r="AA30">
        <f>HYPERLINK("https://klasma.github.io/Logging_1443/klagomål/A 30653-2023 FSC-klagomål.docx", "A 30653-2023")</f>
        <v/>
      </c>
      <c r="AB30">
        <f>HYPERLINK("https://klasma.github.io/Logging_1443/klagomålsmail/A 30653-2023 FSC-klagomål mail.docx", "A 30653-2023")</f>
        <v/>
      </c>
      <c r="AC30">
        <f>HYPERLINK("https://klasma.github.io/Logging_1443/tillsyn/A 30653-2023 tillsynsbegäran.docx", "A 30653-2023")</f>
        <v/>
      </c>
      <c r="AD30">
        <f>HYPERLINK("https://klasma.github.io/Logging_1443/tillsynsmail/A 30653-2023 tillsynsbegäran mail.docx", "A 30653-2023")</f>
        <v/>
      </c>
      <c r="AE30">
        <f>HYPERLINK("https://klasma.github.io/Logging_1443/fåglar/A 30653-2023 prioriterade fågelarter.docx", "A 30653-2023")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46318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30745-2023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46318</v>
      </c>
      <c r="F32" t="inlineStr">
        <is>
          <t>VÄSTRA GÖTALANDS LÄN</t>
        </is>
      </c>
      <c r="G32" t="inlineStr">
        <is>
          <t>BOLLEBYGD</t>
        </is>
      </c>
      <c r="I32" t="n">
        <v>3.9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HYPERLINK("https://klasma.github.io/Logging_1443/artfynd/A 30745-2023 artfynd.xlsx", "A 30745-2023")</f>
        <v/>
      </c>
      <c r="X32">
        <f>HYPERLINK("https://klasma.github.io/Logging_1443/kartor/A 30745-2023 karta.png", "A 30745-2023")</f>
        <v/>
      </c>
      <c r="Y32">
        <f>HYPERLINK("https://klasma.github.io/Logging_1443/kartor_geotiff/A 30745-2023 georefererad karta.tif", "A 30745-2023")</f>
        <v/>
      </c>
      <c r="AA32">
        <f>HYPERLINK("https://klasma.github.io/Logging_1443/klagomål/A 30745-2023 FSC-klagomål.docx", "A 30745-2023")</f>
        <v/>
      </c>
      <c r="AB32">
        <f>HYPERLINK("https://klasma.github.io/Logging_1443/klagomålsmail/A 30745-2023 FSC-klagomål mail.docx", "A 30745-2023")</f>
        <v/>
      </c>
      <c r="AC32">
        <f>HYPERLINK("https://klasma.github.io/Logging_1443/tillsyn/A 30745-2023 tillsynsbegäran.docx", "A 30745-2023")</f>
        <v/>
      </c>
      <c r="AD32">
        <f>HYPERLINK("https://klasma.github.io/Logging_1443/tillsynsmail/A 30745-2023 tillsynsbegäran mail.docx", "A 30745-2023")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46318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46318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46318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46318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46318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68882-2021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46318</v>
      </c>
      <c r="F39" t="inlineStr">
        <is>
          <t>VÄSTRA GÖTALANDS LÄN</t>
        </is>
      </c>
      <c r="G39" t="inlineStr">
        <is>
          <t>BOLLEBYGD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46318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46318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6745-2023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44966</v>
      </c>
      <c r="E42" s="1" t="n">
        <v>46318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46318</v>
      </c>
      <c r="F43" t="inlineStr">
        <is>
          <t>VÄSTRA GÖTALANDS LÄN</t>
        </is>
      </c>
      <c r="G43" t="inlineStr">
        <is>
          <t>BOLLEBYGD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46318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46318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45763</v>
      </c>
      <c r="E46" s="1" t="n">
        <v>46318</v>
      </c>
      <c r="F46" t="inlineStr">
        <is>
          <t>VÄSTRA GÖTALANDS LÄN</t>
        </is>
      </c>
      <c r="G46" t="inlineStr">
        <is>
          <t>BOLLEBYGD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46318</v>
      </c>
      <c r="F47" t="inlineStr">
        <is>
          <t>VÄSTRA GÖTALANDS LÄN</t>
        </is>
      </c>
      <c r="G47" t="inlineStr">
        <is>
          <t>BOLLEBYGD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45118</v>
      </c>
      <c r="E48" s="1" t="n">
        <v>46318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46318</v>
      </c>
      <c r="F49" t="inlineStr">
        <is>
          <t>VÄSTRA GÖTALANDS LÄN</t>
        </is>
      </c>
      <c r="G49" t="inlineStr">
        <is>
          <t>BOLLEBYGD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45328</v>
      </c>
      <c r="E50" s="1" t="n">
        <v>46318</v>
      </c>
      <c r="F50" t="inlineStr">
        <is>
          <t>VÄSTRA GÖTALANDS LÄN</t>
        </is>
      </c>
      <c r="G50" t="inlineStr">
        <is>
          <t>BOLLEBYGD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46318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46318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46318</v>
      </c>
      <c r="F53" t="inlineStr">
        <is>
          <t>VÄSTRA GÖTALANDS LÄN</t>
        </is>
      </c>
      <c r="G53" t="inlineStr">
        <is>
          <t>BOLLEBYGD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9086-2025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46318</v>
      </c>
      <c r="F54" t="inlineStr">
        <is>
          <t>VÄSTRA GÖTALANDS LÄN</t>
        </is>
      </c>
      <c r="G54" t="inlineStr">
        <is>
          <t>BOLLEBYGD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31546-2022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44775</v>
      </c>
      <c r="E55" s="1" t="n">
        <v>46318</v>
      </c>
      <c r="F55" t="inlineStr">
        <is>
          <t>VÄSTRA GÖTALANDS LÄN</t>
        </is>
      </c>
      <c r="G55" t="inlineStr">
        <is>
          <t>BOLLEBYGD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44882</v>
      </c>
      <c r="E56" s="1" t="n">
        <v>46318</v>
      </c>
      <c r="F56" t="inlineStr">
        <is>
          <t>VÄSTRA GÖTALANDS LÄN</t>
        </is>
      </c>
      <c r="G56" t="inlineStr">
        <is>
          <t>BOLLEBYGD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46318</v>
      </c>
      <c r="F57" t="inlineStr">
        <is>
          <t>VÄSTRA GÖTALANDS LÄN</t>
        </is>
      </c>
      <c r="G57" t="inlineStr">
        <is>
          <t>BOLLEBYGD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15112-2022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44658</v>
      </c>
      <c r="E58" s="1" t="n">
        <v>46318</v>
      </c>
      <c r="F58" t="inlineStr">
        <is>
          <t>VÄSTRA GÖTALANDS LÄN</t>
        </is>
      </c>
      <c r="G58" t="inlineStr">
        <is>
          <t>BOLLEBYGD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46318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29794-2025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46318</v>
      </c>
      <c r="F60" t="inlineStr">
        <is>
          <t>VÄSTRA GÖTALANDS LÄN</t>
        </is>
      </c>
      <c r="G60" t="inlineStr">
        <is>
          <t>BOLLEBYGD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45722</v>
      </c>
      <c r="E61" s="1" t="n">
        <v>46318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46318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45308</v>
      </c>
      <c r="E63" s="1" t="n">
        <v>46318</v>
      </c>
      <c r="F63" t="inlineStr">
        <is>
          <t>VÄSTRA GÖTALANDS LÄN</t>
        </is>
      </c>
      <c r="G63" t="inlineStr">
        <is>
          <t>BOLLEBYGD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61334-2022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46318</v>
      </c>
      <c r="F64" t="inlineStr">
        <is>
          <t>VÄSTRA GÖTALANDS LÄN</t>
        </is>
      </c>
      <c r="G64" t="inlineStr">
        <is>
          <t>BOLLEBYGD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46318</v>
      </c>
      <c r="F65" t="inlineStr">
        <is>
          <t>VÄSTRA GÖTALANDS LÄN</t>
        </is>
      </c>
      <c r="G65" t="inlineStr">
        <is>
          <t>BOLLEBYGD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45604</v>
      </c>
      <c r="E66" s="1" t="n">
        <v>46318</v>
      </c>
      <c r="F66" t="inlineStr">
        <is>
          <t>VÄSTRA GÖTALANDS LÄN</t>
        </is>
      </c>
      <c r="G66" t="inlineStr">
        <is>
          <t>BOLLEBYGD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45836</v>
      </c>
      <c r="E67" s="1" t="n">
        <v>46318</v>
      </c>
      <c r="F67" t="inlineStr">
        <is>
          <t>VÄSTRA GÖTALANDS LÄN</t>
        </is>
      </c>
      <c r="G67" t="inlineStr">
        <is>
          <t>BOLLEBYGD</t>
        </is>
      </c>
      <c r="I67" t="n">
        <v>11.7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46318</v>
      </c>
      <c r="F68" t="inlineStr">
        <is>
          <t>VÄSTRA GÖTALANDS LÄN</t>
        </is>
      </c>
      <c r="G68" t="inlineStr">
        <is>
          <t>BOLLEBYGD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47522-2024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46318</v>
      </c>
      <c r="F69" t="inlineStr">
        <is>
          <t>VÄSTRA GÖTALANDS LÄN</t>
        </is>
      </c>
      <c r="G69" t="inlineStr">
        <is>
          <t>BOLLEBYGD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46318</v>
      </c>
      <c r="F70" t="inlineStr">
        <is>
          <t>VÄSTRA GÖTALANDS LÄN</t>
        </is>
      </c>
      <c r="G70" t="inlineStr">
        <is>
          <t>BOLLEBYGD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45701</v>
      </c>
      <c r="E71" s="1" t="n">
        <v>46318</v>
      </c>
      <c r="F71" t="inlineStr">
        <is>
          <t>VÄSTRA GÖTALANDS LÄN</t>
        </is>
      </c>
      <c r="G71" t="inlineStr">
        <is>
          <t>BOLLEBYGD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46318</v>
      </c>
      <c r="F72" t="inlineStr">
        <is>
          <t>VÄSTRA GÖTALANDS LÄN</t>
        </is>
      </c>
      <c r="G72" t="inlineStr">
        <is>
          <t>BOLLEBYGD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46318</v>
      </c>
      <c r="F73" t="inlineStr">
        <is>
          <t>VÄSTRA GÖTALANDS LÄN</t>
        </is>
      </c>
      <c r="G73" t="inlineStr">
        <is>
          <t>BOLLEBYGD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46318</v>
      </c>
      <c r="F74" t="inlineStr">
        <is>
          <t>VÄSTRA GÖTALANDS LÄN</t>
        </is>
      </c>
      <c r="G74" t="inlineStr">
        <is>
          <t>BOLLEBYGD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46318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51314-2023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45219</v>
      </c>
      <c r="E76" s="1" t="n">
        <v>46318</v>
      </c>
      <c r="F76" t="inlineStr">
        <is>
          <t>VÄSTRA GÖTALANDS LÄN</t>
        </is>
      </c>
      <c r="G76" t="inlineStr">
        <is>
          <t>BOLLEBYGD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46318</v>
      </c>
      <c r="F77" t="inlineStr">
        <is>
          <t>VÄSTRA GÖTALANDS LÄN</t>
        </is>
      </c>
      <c r="G77" t="inlineStr">
        <is>
          <t>BOLLEBYGD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44946</v>
      </c>
      <c r="E78" s="1" t="n">
        <v>46318</v>
      </c>
      <c r="F78" t="inlineStr">
        <is>
          <t>VÄSTRA GÖTALANDS LÄN</t>
        </is>
      </c>
      <c r="G78" t="inlineStr">
        <is>
          <t>BOLLEBYGD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46318</v>
      </c>
      <c r="F79" t="inlineStr">
        <is>
          <t>VÄSTRA GÖTALANDS LÄN</t>
        </is>
      </c>
      <c r="G79" t="inlineStr">
        <is>
          <t>BOLLEBYGD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45872</v>
      </c>
      <c r="E80" s="1" t="n">
        <v>46318</v>
      </c>
      <c r="F80" t="inlineStr">
        <is>
          <t>VÄSTRA GÖTALANDS LÄN</t>
        </is>
      </c>
      <c r="G80" t="inlineStr">
        <is>
          <t>BOLLEBYGD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45377</v>
      </c>
      <c r="E81" s="1" t="n">
        <v>46318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44883</v>
      </c>
      <c r="E82" s="1" t="n">
        <v>46318</v>
      </c>
      <c r="F82" t="inlineStr">
        <is>
          <t>VÄSTRA GÖTALANDS LÄN</t>
        </is>
      </c>
      <c r="G82" t="inlineStr">
        <is>
          <t>BOLLEBYGD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46318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46318</v>
      </c>
      <c r="F84" t="inlineStr">
        <is>
          <t>VÄSTRA GÖTALANDS LÄN</t>
        </is>
      </c>
      <c r="G84" t="inlineStr">
        <is>
          <t>BOLLEBYGD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45117</v>
      </c>
      <c r="E85" s="1" t="n">
        <v>46318</v>
      </c>
      <c r="F85" t="inlineStr">
        <is>
          <t>VÄSTRA GÖTALANDS LÄN</t>
        </is>
      </c>
      <c r="G85" t="inlineStr">
        <is>
          <t>BOLLEBYGD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46318</v>
      </c>
      <c r="F86" t="inlineStr">
        <is>
          <t>VÄSTRA GÖTALANDS LÄN</t>
        </is>
      </c>
      <c r="G86" t="inlineStr">
        <is>
          <t>BOLLEBYGD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44946</v>
      </c>
      <c r="E87" s="1" t="n">
        <v>46318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46318</v>
      </c>
      <c r="F88" t="inlineStr">
        <is>
          <t>VÄSTRA GÖTALANDS LÄN</t>
        </is>
      </c>
      <c r="G88" t="inlineStr">
        <is>
          <t>BOLLEBYGD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45696</v>
      </c>
      <c r="E89" s="1" t="n">
        <v>46318</v>
      </c>
      <c r="F89" t="inlineStr">
        <is>
          <t>VÄSTRA GÖTALANDS LÄN</t>
        </is>
      </c>
      <c r="G89" t="inlineStr">
        <is>
          <t>BOLLEBYGD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45117</v>
      </c>
      <c r="E90" s="1" t="n">
        <v>46318</v>
      </c>
      <c r="F90" t="inlineStr">
        <is>
          <t>VÄSTRA GÖTALANDS LÄN</t>
        </is>
      </c>
      <c r="G90" t="inlineStr">
        <is>
          <t>BOLLEBYGD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46318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46318</v>
      </c>
      <c r="F92" t="inlineStr">
        <is>
          <t>VÄSTRA GÖTALANDS LÄN</t>
        </is>
      </c>
      <c r="G92" t="inlineStr">
        <is>
          <t>BOLLEBYGD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46318</v>
      </c>
      <c r="F93" t="inlineStr">
        <is>
          <t>VÄSTRA GÖTALANDS LÄN</t>
        </is>
      </c>
      <c r="G93" t="inlineStr">
        <is>
          <t>BOLLEBYGD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36131-2024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46318</v>
      </c>
      <c r="F94" t="inlineStr">
        <is>
          <t>VÄSTRA GÖTALANDS LÄN</t>
        </is>
      </c>
      <c r="G94" t="inlineStr">
        <is>
          <t>BOLLEBYGD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54311-2022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46318</v>
      </c>
      <c r="F95" t="inlineStr">
        <is>
          <t>VÄSTRA GÖTALANDS LÄN</t>
        </is>
      </c>
      <c r="G95" t="inlineStr">
        <is>
          <t>BOLLEBYGD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46318</v>
      </c>
      <c r="F96" t="inlineStr">
        <is>
          <t>VÄSTRA GÖTALANDS LÄN</t>
        </is>
      </c>
      <c r="G96" t="inlineStr">
        <is>
          <t>BOLLEBYGD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45537</v>
      </c>
      <c r="E97" s="1" t="n">
        <v>46318</v>
      </c>
      <c r="F97" t="inlineStr">
        <is>
          <t>VÄSTRA GÖTALANDS LÄN</t>
        </is>
      </c>
      <c r="G97" t="inlineStr">
        <is>
          <t>BOLLEBYGD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22443-2023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45070</v>
      </c>
      <c r="E98" s="1" t="n">
        <v>46318</v>
      </c>
      <c r="F98" t="inlineStr">
        <is>
          <t>VÄSTRA GÖTALANDS LÄN</t>
        </is>
      </c>
      <c r="G98" t="inlineStr">
        <is>
          <t>BOLLEBYGD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60792-2022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44914</v>
      </c>
      <c r="E99" s="1" t="n">
        <v>46318</v>
      </c>
      <c r="F99" t="inlineStr">
        <is>
          <t>VÄSTRA GÖTALANDS LÄN</t>
        </is>
      </c>
      <c r="G99" t="inlineStr">
        <is>
          <t>BOLLEBYGD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46318</v>
      </c>
      <c r="F100" t="inlineStr">
        <is>
          <t>VÄSTRA GÖTALANDS LÄN</t>
        </is>
      </c>
      <c r="G100" t="inlineStr">
        <is>
          <t>BOLLEBYGD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46318</v>
      </c>
      <c r="F101" t="inlineStr">
        <is>
          <t>VÄSTRA GÖTALANDS LÄN</t>
        </is>
      </c>
      <c r="G101" t="inlineStr">
        <is>
          <t>BOLLEBYGD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46318</v>
      </c>
      <c r="F102" t="inlineStr">
        <is>
          <t>VÄSTRA GÖTALANDS LÄN</t>
        </is>
      </c>
      <c r="G102" t="inlineStr">
        <is>
          <t>BOLLEBYGD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44914</v>
      </c>
      <c r="E103" s="1" t="n">
        <v>46318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46318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46318</v>
      </c>
      <c r="F105" t="inlineStr">
        <is>
          <t>VÄSTRA GÖTALANDS LÄN</t>
        </is>
      </c>
      <c r="G105" t="inlineStr">
        <is>
          <t>BOLLEBYGD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46318</v>
      </c>
      <c r="F106" t="inlineStr">
        <is>
          <t>VÄSTRA GÖTALANDS LÄN</t>
        </is>
      </c>
      <c r="G106" t="inlineStr">
        <is>
          <t>BOLLEBYGD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46318</v>
      </c>
      <c r="F107" t="inlineStr">
        <is>
          <t>VÄSTRA GÖTALANDS LÄN</t>
        </is>
      </c>
      <c r="G107" t="inlineStr">
        <is>
          <t>BOLLEBYGD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44708</v>
      </c>
      <c r="E108" s="1" t="n">
        <v>46318</v>
      </c>
      <c r="F108" t="inlineStr">
        <is>
          <t>VÄSTRA GÖTALANDS LÄN</t>
        </is>
      </c>
      <c r="G108" t="inlineStr">
        <is>
          <t>BOLLEBYGD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45303</v>
      </c>
      <c r="E109" s="1" t="n">
        <v>46318</v>
      </c>
      <c r="F109" t="inlineStr">
        <is>
          <t>VÄSTRA GÖTALANDS LÄN</t>
        </is>
      </c>
      <c r="G109" t="inlineStr">
        <is>
          <t>BOLLEBYGD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46318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46318</v>
      </c>
      <c r="F111" t="inlineStr">
        <is>
          <t>VÄSTRA GÖTALANDS LÄN</t>
        </is>
      </c>
      <c r="G111" t="inlineStr">
        <is>
          <t>BOLLEBYGD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46318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46318</v>
      </c>
      <c r="F113" t="inlineStr">
        <is>
          <t>VÄSTRA GÖTALANDS LÄN</t>
        </is>
      </c>
      <c r="G113" t="inlineStr">
        <is>
          <t>BOLLEBYGD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46318</v>
      </c>
      <c r="F114" t="inlineStr">
        <is>
          <t>VÄSTRA GÖTALANDS LÄN</t>
        </is>
      </c>
      <c r="G114" t="inlineStr">
        <is>
          <t>BOLLEBYGD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46318</v>
      </c>
      <c r="F115" t="inlineStr">
        <is>
          <t>VÄSTRA GÖTALANDS LÄN</t>
        </is>
      </c>
      <c r="G115" t="inlineStr">
        <is>
          <t>BOLLEBYGD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45476</v>
      </c>
      <c r="E116" s="1" t="n">
        <v>46318</v>
      </c>
      <c r="F116" t="inlineStr">
        <is>
          <t>VÄSTRA GÖTALANDS LÄN</t>
        </is>
      </c>
      <c r="G116" t="inlineStr">
        <is>
          <t>BOLLEBYGD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46318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46318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46318</v>
      </c>
      <c r="F119" t="inlineStr">
        <is>
          <t>VÄSTRA GÖTALANDS LÄN</t>
        </is>
      </c>
      <c r="G119" t="inlineStr">
        <is>
          <t>BOLLEBYGD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46318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46318</v>
      </c>
      <c r="F121" t="inlineStr">
        <is>
          <t>VÄSTRA GÖTALANDS LÄN</t>
        </is>
      </c>
      <c r="G121" t="inlineStr">
        <is>
          <t>BOLLEBYGD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46318</v>
      </c>
      <c r="F122" t="inlineStr">
        <is>
          <t>VÄSTRA GÖTALANDS LÄN</t>
        </is>
      </c>
      <c r="G122" t="inlineStr">
        <is>
          <t>BOLLEBYGD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46318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46318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44992</v>
      </c>
      <c r="E125" s="1" t="n">
        <v>46318</v>
      </c>
      <c r="F125" t="inlineStr">
        <is>
          <t>VÄSTRA GÖTALANDS LÄN</t>
        </is>
      </c>
      <c r="G125" t="inlineStr">
        <is>
          <t>BOLLEBYGD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46318</v>
      </c>
      <c r="F126" t="inlineStr">
        <is>
          <t>VÄSTRA GÖTALANDS LÄN</t>
        </is>
      </c>
      <c r="G126" t="inlineStr">
        <is>
          <t>BOLLEBYGD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46318</v>
      </c>
      <c r="F127" t="inlineStr">
        <is>
          <t>VÄSTRA GÖTALANDS LÄN</t>
        </is>
      </c>
      <c r="G127" t="inlineStr">
        <is>
          <t>BOLLEBYGD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46318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46318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46318</v>
      </c>
      <c r="F130" t="inlineStr">
        <is>
          <t>VÄSTRA GÖTALANDS LÄN</t>
        </is>
      </c>
      <c r="G130" t="inlineStr">
        <is>
          <t>BOLLEBYGD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46318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46318</v>
      </c>
      <c r="F132" t="inlineStr">
        <is>
          <t>VÄSTRA GÖTALANDS LÄN</t>
        </is>
      </c>
      <c r="G132" t="inlineStr">
        <is>
          <t>BOLLEBYGD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46318</v>
      </c>
      <c r="F133" t="inlineStr">
        <is>
          <t>VÄSTRA GÖTALANDS LÄN</t>
        </is>
      </c>
      <c r="G133" t="inlineStr">
        <is>
          <t>BOLLEBYGD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46318</v>
      </c>
      <c r="F134" t="inlineStr">
        <is>
          <t>VÄSTRA GÖTALANDS LÄN</t>
        </is>
      </c>
      <c r="G134" t="inlineStr">
        <is>
          <t>BOLLEBYGD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46318</v>
      </c>
      <c r="F135" t="inlineStr">
        <is>
          <t>VÄSTRA GÖTALANDS LÄN</t>
        </is>
      </c>
      <c r="G135" t="inlineStr">
        <is>
          <t>BOLLEBYGD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46318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46318</v>
      </c>
      <c r="F137" t="inlineStr">
        <is>
          <t>VÄSTRA GÖTALANDS LÄN</t>
        </is>
      </c>
      <c r="G137" t="inlineStr">
        <is>
          <t>BOLLEBYGD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46318</v>
      </c>
      <c r="F138" t="inlineStr">
        <is>
          <t>VÄSTRA GÖTALANDS LÄN</t>
        </is>
      </c>
      <c r="G138" t="inlineStr">
        <is>
          <t>BOLLEBYGD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46318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46318</v>
      </c>
      <c r="F140" t="inlineStr">
        <is>
          <t>VÄSTRA GÖTALANDS LÄN</t>
        </is>
      </c>
      <c r="G140" t="inlineStr">
        <is>
          <t>BOLLEBYGD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46318</v>
      </c>
      <c r="F141" t="inlineStr">
        <is>
          <t>VÄSTRA GÖTALANDS LÄN</t>
        </is>
      </c>
      <c r="G141" t="inlineStr">
        <is>
          <t>BOLLEBYGD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46318</v>
      </c>
      <c r="F142" t="inlineStr">
        <is>
          <t>VÄSTRA GÖTALANDS LÄN</t>
        </is>
      </c>
      <c r="G142" t="inlineStr">
        <is>
          <t>BOLLEBYGD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46318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46318</v>
      </c>
      <c r="F144" t="inlineStr">
        <is>
          <t>VÄSTRA GÖTALANDS LÄN</t>
        </is>
      </c>
      <c r="G144" t="inlineStr">
        <is>
          <t>BOLLEBYGD</t>
        </is>
      </c>
      <c r="H144" t="inlineStr">
        <is>
          <t>Kyrkan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46318</v>
      </c>
      <c r="F145" t="inlineStr">
        <is>
          <t>VÄSTRA GÖTALANDS LÄN</t>
        </is>
      </c>
      <c r="G145" t="inlineStr">
        <is>
          <t>BOLLEBYGD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46318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46318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23330-2024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45453</v>
      </c>
      <c r="E148" s="1" t="n">
        <v>46318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46318</v>
      </c>
      <c r="F149" t="inlineStr">
        <is>
          <t>VÄSTRA GÖTALANDS LÄN</t>
        </is>
      </c>
      <c r="G149" t="inlineStr">
        <is>
          <t>BOLLEBYGD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46318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46318</v>
      </c>
      <c r="F151" t="inlineStr">
        <is>
          <t>VÄSTRA GÖTALANDS LÄN</t>
        </is>
      </c>
      <c r="G151" t="inlineStr">
        <is>
          <t>BOLLEBYGD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46318</v>
      </c>
      <c r="F152" t="inlineStr">
        <is>
          <t>VÄSTRA GÖTALANDS LÄN</t>
        </is>
      </c>
      <c r="G152" t="inlineStr">
        <is>
          <t>BOLLEBYGD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46318</v>
      </c>
      <c r="F153" t="inlineStr">
        <is>
          <t>VÄSTRA GÖTALANDS LÄN</t>
        </is>
      </c>
      <c r="G153" t="inlineStr">
        <is>
          <t>BOLLEBYGD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7546-2026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46059</v>
      </c>
      <c r="E154" s="1" t="n">
        <v>46318</v>
      </c>
      <c r="F154" t="inlineStr">
        <is>
          <t>VÄSTRA GÖTALANDS LÄN</t>
        </is>
      </c>
      <c r="G154" t="inlineStr">
        <is>
          <t>BOLLEBYGD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46318</v>
      </c>
      <c r="F155" t="inlineStr">
        <is>
          <t>VÄSTRA GÖTALANDS LÄN</t>
        </is>
      </c>
      <c r="G155" t="inlineStr">
        <is>
          <t>BOLLEBYGD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45784</v>
      </c>
      <c r="E156" s="1" t="n">
        <v>46318</v>
      </c>
      <c r="F156" t="inlineStr">
        <is>
          <t>VÄSTRA GÖTALANDS LÄN</t>
        </is>
      </c>
      <c r="G156" t="inlineStr">
        <is>
          <t>BOLLEBYGD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46318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46318</v>
      </c>
      <c r="F158" t="inlineStr">
        <is>
          <t>VÄSTRA GÖTALANDS LÄN</t>
        </is>
      </c>
      <c r="G158" t="inlineStr">
        <is>
          <t>BOLLEBYGD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46318</v>
      </c>
      <c r="F159" t="inlineStr">
        <is>
          <t>VÄSTRA GÖTALANDS LÄN</t>
        </is>
      </c>
      <c r="G159" t="inlineStr">
        <is>
          <t>BOLLEBYGD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46318</v>
      </c>
      <c r="F160" t="inlineStr">
        <is>
          <t>VÄSTRA GÖTALANDS LÄN</t>
        </is>
      </c>
      <c r="G160" t="inlineStr">
        <is>
          <t>BOLLEBYGD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45709</v>
      </c>
      <c r="E161" s="1" t="n">
        <v>46318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46191</v>
      </c>
      <c r="E162" s="1" t="n">
        <v>46318</v>
      </c>
      <c r="F162" t="inlineStr">
        <is>
          <t>VÄSTRA GÖTALANDS LÄN</t>
        </is>
      </c>
      <c r="G162" t="inlineStr">
        <is>
          <t>BOLLEBYGD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46318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46318</v>
      </c>
      <c r="F164" t="inlineStr">
        <is>
          <t>VÄSTRA GÖTALANDS LÄN</t>
        </is>
      </c>
      <c r="G164" t="inlineStr">
        <is>
          <t>BOLLEBYGD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46318</v>
      </c>
      <c r="F165" t="inlineStr">
        <is>
          <t>VÄSTRA GÖTALANDS LÄN</t>
        </is>
      </c>
      <c r="G165" t="inlineStr">
        <is>
          <t>BOLLEBYGD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46318</v>
      </c>
      <c r="F166" t="inlineStr">
        <is>
          <t>VÄSTRA GÖTALANDS LÄN</t>
        </is>
      </c>
      <c r="G166" t="inlineStr">
        <is>
          <t>BOLLEBYGD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44683</v>
      </c>
      <c r="E167" s="1" t="n">
        <v>46318</v>
      </c>
      <c r="F167" t="inlineStr">
        <is>
          <t>VÄSTRA GÖTALANDS LÄN</t>
        </is>
      </c>
      <c r="G167" t="inlineStr">
        <is>
          <t>BOLLEBYGD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12879-2026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46092</v>
      </c>
      <c r="E168" s="1" t="n">
        <v>46318</v>
      </c>
      <c r="F168" t="inlineStr">
        <is>
          <t>VÄSTRA GÖTALANDS LÄN</t>
        </is>
      </c>
      <c r="G168" t="inlineStr">
        <is>
          <t>BOLLEBYGD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46093</v>
      </c>
      <c r="E169" s="1" t="n">
        <v>46318</v>
      </c>
      <c r="F169" t="inlineStr">
        <is>
          <t>VÄSTRA GÖTALANDS LÄN</t>
        </is>
      </c>
      <c r="G169" t="inlineStr">
        <is>
          <t>BOLLEBYGD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46318</v>
      </c>
      <c r="F170" t="inlineStr">
        <is>
          <t>VÄSTRA GÖTALANDS LÄN</t>
        </is>
      </c>
      <c r="G170" t="inlineStr">
        <is>
          <t>BOLLEBYGD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17434-2026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46120</v>
      </c>
      <c r="E171" s="1" t="n">
        <v>46318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46093</v>
      </c>
      <c r="E172" s="1" t="n">
        <v>46318</v>
      </c>
      <c r="F172" t="inlineStr">
        <is>
          <t>VÄSTRA GÖTALANDS LÄN</t>
        </is>
      </c>
      <c r="G172" t="inlineStr">
        <is>
          <t>BOLLEBYGD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45232</v>
      </c>
      <c r="E173" s="1" t="n">
        <v>46318</v>
      </c>
      <c r="F173" t="inlineStr">
        <is>
          <t>VÄSTRA GÖTALANDS LÄN</t>
        </is>
      </c>
      <c r="G173" t="inlineStr">
        <is>
          <t>BOLLEBYGD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46318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46318</v>
      </c>
      <c r="F175" t="inlineStr">
        <is>
          <t>VÄSTRA GÖTALANDS LÄN</t>
        </is>
      </c>
      <c r="G175" t="inlineStr">
        <is>
          <t>BOLLEBYGD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46318</v>
      </c>
      <c r="F176" t="inlineStr">
        <is>
          <t>VÄSTRA GÖTALANDS LÄN</t>
        </is>
      </c>
      <c r="G176" t="inlineStr">
        <is>
          <t>BOLLEBYGD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46318</v>
      </c>
      <c r="F177" t="inlineStr">
        <is>
          <t>VÄSTRA GÖTALANDS LÄN</t>
        </is>
      </c>
      <c r="G177" t="inlineStr">
        <is>
          <t>BOLLEBYGD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14545-2026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46100</v>
      </c>
      <c r="E178" s="1" t="n">
        <v>46318</v>
      </c>
      <c r="F178" t="inlineStr">
        <is>
          <t>VÄSTRA GÖTALANDS LÄN</t>
        </is>
      </c>
      <c r="G178" t="inlineStr">
        <is>
          <t>BOLLEBYGD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46318</v>
      </c>
      <c r="F179" t="inlineStr">
        <is>
          <t>VÄSTRA GÖTALANDS LÄN</t>
        </is>
      </c>
      <c r="G179" t="inlineStr">
        <is>
          <t>BOLLEBYGD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43872-2026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46316</v>
      </c>
      <c r="E180" s="1" t="n">
        <v>46318</v>
      </c>
      <c r="F180" t="inlineStr">
        <is>
          <t>VÄSTRA GÖTALANDS LÄN</t>
        </is>
      </c>
      <c r="G180" t="inlineStr">
        <is>
          <t>BOLLEBYGD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45204</v>
      </c>
      <c r="E181" s="1" t="n">
        <v>46318</v>
      </c>
      <c r="F181" t="inlineStr">
        <is>
          <t>VÄSTRA GÖTALANDS LÄN</t>
        </is>
      </c>
      <c r="G181" t="inlineStr">
        <is>
          <t>BOLLEBYGD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46318</v>
      </c>
      <c r="F182" t="inlineStr">
        <is>
          <t>VÄSTRA GÖTALANDS LÄN</t>
        </is>
      </c>
      <c r="G182" t="inlineStr">
        <is>
          <t>BOLLEBYGD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46318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52939-2025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45957</v>
      </c>
      <c r="E184" s="1" t="n">
        <v>46318</v>
      </c>
      <c r="F184" t="inlineStr">
        <is>
          <t>VÄSTRA GÖTALANDS LÄN</t>
        </is>
      </c>
      <c r="G184" t="inlineStr">
        <is>
          <t>BOLLEBYGD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46316</v>
      </c>
      <c r="E185" s="1" t="n">
        <v>46318</v>
      </c>
      <c r="F185" t="inlineStr">
        <is>
          <t>VÄSTRA GÖTALANDS LÄN</t>
        </is>
      </c>
      <c r="G185" t="inlineStr">
        <is>
          <t>BOLLEBYGD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46318</v>
      </c>
      <c r="F186" t="inlineStr">
        <is>
          <t>VÄSTRA GÖTALANDS LÄN</t>
        </is>
      </c>
      <c r="G186" t="inlineStr">
        <is>
          <t>BOLLEBYGD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46318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46318</v>
      </c>
      <c r="F188" t="inlineStr">
        <is>
          <t>VÄSTRA GÖTALANDS LÄN</t>
        </is>
      </c>
      <c r="G188" t="inlineStr">
        <is>
          <t>BOLLEBYGD</t>
        </is>
      </c>
      <c r="H188" t="inlineStr">
        <is>
          <t>Kyrkan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46318</v>
      </c>
      <c r="F189" t="inlineStr">
        <is>
          <t>VÄSTRA GÖTALANDS LÄN</t>
        </is>
      </c>
      <c r="G189" t="inlineStr">
        <is>
          <t>BOLLEBYGD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46318</v>
      </c>
      <c r="F190" t="inlineStr">
        <is>
          <t>VÄSTRA GÖTALANDS LÄN</t>
        </is>
      </c>
      <c r="G190" t="inlineStr">
        <is>
          <t>BOLLEBYGD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46283</v>
      </c>
      <c r="E191" s="1" t="n">
        <v>46318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46283</v>
      </c>
      <c r="E192" s="1" t="n">
        <v>46318</v>
      </c>
      <c r="F192" t="inlineStr">
        <is>
          <t>VÄSTRA GÖTALANDS LÄN</t>
        </is>
      </c>
      <c r="G192" t="inlineStr">
        <is>
          <t>BOLLEBYGD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46318</v>
      </c>
      <c r="F193" t="inlineStr">
        <is>
          <t>VÄSTRA GÖTALANDS LÄN</t>
        </is>
      </c>
      <c r="G193" t="inlineStr">
        <is>
          <t>BOLLEBYGD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46318</v>
      </c>
      <c r="F194" t="inlineStr">
        <is>
          <t>VÄSTRA GÖTALANDS LÄN</t>
        </is>
      </c>
      <c r="G194" t="inlineStr">
        <is>
          <t>BOLLEBYGD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46318</v>
      </c>
      <c r="F195" t="inlineStr">
        <is>
          <t>VÄSTRA GÖTALANDS LÄN</t>
        </is>
      </c>
      <c r="G195" t="inlineStr">
        <is>
          <t>BOLLEBYGD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46288</v>
      </c>
      <c r="E196" s="1" t="n">
        <v>46318</v>
      </c>
      <c r="F196" t="inlineStr">
        <is>
          <t>VÄSTRA GÖTALANDS LÄN</t>
        </is>
      </c>
      <c r="G196" t="inlineStr">
        <is>
          <t>BOLLEBYGD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46318</v>
      </c>
      <c r="F197" t="inlineStr">
        <is>
          <t>VÄSTRA GÖTALANDS LÄN</t>
        </is>
      </c>
      <c r="G197" t="inlineStr">
        <is>
          <t>BOLLEBYGD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46318</v>
      </c>
      <c r="F198" t="inlineStr">
        <is>
          <t>VÄSTRA GÖTALANDS LÄN</t>
        </is>
      </c>
      <c r="G198" t="inlineStr">
        <is>
          <t>BOLLEBYGD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46318</v>
      </c>
      <c r="F199" t="inlineStr">
        <is>
          <t>VÄSTRA GÖTALANDS LÄN</t>
        </is>
      </c>
      <c r="G199" t="inlineStr">
        <is>
          <t>BOLLEBYGD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46290</v>
      </c>
      <c r="E200" s="1" t="n">
        <v>46318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46318</v>
      </c>
      <c r="F201" t="inlineStr">
        <is>
          <t>VÄSTRA GÖTALANDS LÄN</t>
        </is>
      </c>
      <c r="G201" t="inlineStr">
        <is>
          <t>BOLLEBYGD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45448</v>
      </c>
      <c r="E202" s="1" t="n">
        <v>46318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45561</v>
      </c>
      <c r="E203" s="1" t="n">
        <v>46318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67455-2021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44524</v>
      </c>
      <c r="E204" s="1" t="n">
        <v>46318</v>
      </c>
      <c r="F204" t="inlineStr">
        <is>
          <t>VÄSTRA GÖTALANDS LÄN</t>
        </is>
      </c>
      <c r="G204" t="inlineStr">
        <is>
          <t>BOLLEBYGD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46318</v>
      </c>
      <c r="F205" t="inlineStr">
        <is>
          <t>VÄSTRA GÖTALANDS LÄN</t>
        </is>
      </c>
      <c r="G205" t="inlineStr">
        <is>
          <t>BOLLEBYGD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46318</v>
      </c>
      <c r="F206" t="inlineStr">
        <is>
          <t>VÄSTRA GÖTALANDS LÄN</t>
        </is>
      </c>
      <c r="G206" t="inlineStr">
        <is>
          <t>BOLLEBYGD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45248</v>
      </c>
      <c r="E207" s="1" t="n">
        <v>46318</v>
      </c>
      <c r="F207" t="inlineStr">
        <is>
          <t>VÄSTRA GÖTALANDS LÄN</t>
        </is>
      </c>
      <c r="G207" t="inlineStr">
        <is>
          <t>BOLLEBYGD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44881</v>
      </c>
      <c r="E208" s="1" t="n">
        <v>46318</v>
      </c>
      <c r="F208" t="inlineStr">
        <is>
          <t>VÄSTRA GÖTALANDS LÄN</t>
        </is>
      </c>
      <c r="G208" t="inlineStr">
        <is>
          <t>BOLLEBYGD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46318</v>
      </c>
      <c r="F209" t="inlineStr">
        <is>
          <t>VÄSTRA GÖTALANDS LÄN</t>
        </is>
      </c>
      <c r="G209" t="inlineStr">
        <is>
          <t>BOLLEBYGD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46318</v>
      </c>
      <c r="F210" t="inlineStr">
        <is>
          <t>VÄSTRA GÖTALANDS LÄN</t>
        </is>
      </c>
      <c r="G210" t="inlineStr">
        <is>
          <t>BOLLEBYGD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46318</v>
      </c>
      <c r="F211" t="inlineStr">
        <is>
          <t>VÄSTRA GÖTALANDS LÄN</t>
        </is>
      </c>
      <c r="G211" t="inlineStr">
        <is>
          <t>BOLLEBYGD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64207-2021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44510</v>
      </c>
      <c r="E212" s="1" t="n">
        <v>46318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45308</v>
      </c>
      <c r="E213" s="1" t="n">
        <v>46318</v>
      </c>
      <c r="F213" t="inlineStr">
        <is>
          <t>VÄSTRA GÖTALANDS LÄN</t>
        </is>
      </c>
      <c r="G213" t="inlineStr">
        <is>
          <t>BOLLEBYGD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44726</v>
      </c>
      <c r="E214" s="1" t="n">
        <v>46318</v>
      </c>
      <c r="F214" t="inlineStr">
        <is>
          <t>VÄSTRA GÖTALANDS LÄN</t>
        </is>
      </c>
      <c r="G214" t="inlineStr">
        <is>
          <t>BOLLEBYGD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46318</v>
      </c>
      <c r="F215" t="inlineStr">
        <is>
          <t>VÄSTRA GÖTALANDS LÄN</t>
        </is>
      </c>
      <c r="G215" t="inlineStr">
        <is>
          <t>BOLLEBYGD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46318</v>
      </c>
      <c r="F216" t="inlineStr">
        <is>
          <t>VÄSTRA GÖTALANDS LÄN</t>
        </is>
      </c>
      <c r="G216" t="inlineStr">
        <is>
          <t>BOLLEBYGD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46318</v>
      </c>
      <c r="F217" t="inlineStr">
        <is>
          <t>VÄSTRA GÖTALANDS LÄN</t>
        </is>
      </c>
      <c r="G217" t="inlineStr">
        <is>
          <t>BOLLEBYGD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46318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46259</v>
      </c>
      <c r="E219" s="1" t="n">
        <v>46318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46318</v>
      </c>
      <c r="F220" t="inlineStr">
        <is>
          <t>VÄSTRA GÖTALANDS LÄN</t>
        </is>
      </c>
      <c r="G220" t="inlineStr">
        <is>
          <t>BOLLEBYGD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45276</v>
      </c>
      <c r="E221" s="1" t="n">
        <v>46318</v>
      </c>
      <c r="F221" t="inlineStr">
        <is>
          <t>VÄSTRA GÖTALANDS LÄN</t>
        </is>
      </c>
      <c r="G221" t="inlineStr">
        <is>
          <t>BOLLEBYGD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46318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46318</v>
      </c>
      <c r="F223" t="inlineStr">
        <is>
          <t>VÄSTRA GÖTALANDS LÄN</t>
        </is>
      </c>
      <c r="G223" t="inlineStr">
        <is>
          <t>BOLLEBYGD</t>
        </is>
      </c>
      <c r="H223" t="inlineStr">
        <is>
          <t>Kommuner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46318</v>
      </c>
      <c r="F224" t="inlineStr">
        <is>
          <t>VÄSTRA GÖTALANDS LÄN</t>
        </is>
      </c>
      <c r="G224" t="inlineStr">
        <is>
          <t>BOLLEBYGD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62986-2023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46318</v>
      </c>
      <c r="F225" t="inlineStr">
        <is>
          <t>VÄSTRA GÖTALANDS LÄN</t>
        </is>
      </c>
      <c r="G225" t="inlineStr">
        <is>
          <t>BOLLEBYGD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59816-2021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44494</v>
      </c>
      <c r="E226" s="1" t="n">
        <v>46318</v>
      </c>
      <c r="F226" t="inlineStr">
        <is>
          <t>VÄSTRA GÖTALANDS LÄN</t>
        </is>
      </c>
      <c r="G226" t="inlineStr">
        <is>
          <t>BOLLEBYGD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46318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46318</v>
      </c>
      <c r="F228" t="inlineStr">
        <is>
          <t>VÄSTRA GÖTALANDS LÄN</t>
        </is>
      </c>
      <c r="G228" t="inlineStr">
        <is>
          <t>BOLLEBYGD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46309</v>
      </c>
      <c r="E229" s="1" t="n">
        <v>46318</v>
      </c>
      <c r="F229" t="inlineStr">
        <is>
          <t>VÄSTRA GÖTALANDS LÄN</t>
        </is>
      </c>
      <c r="G229" t="inlineStr">
        <is>
          <t>BOLLEBYGD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46309</v>
      </c>
      <c r="E230" s="1" t="n">
        <v>46318</v>
      </c>
      <c r="F230" t="inlineStr">
        <is>
          <t>VÄSTRA GÖTALANDS LÄN</t>
        </is>
      </c>
      <c r="G230" t="inlineStr">
        <is>
          <t>BOLLEBYGD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65118-2023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45288</v>
      </c>
      <c r="E231" s="1" t="n">
        <v>46318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46311</v>
      </c>
      <c r="E232" s="1" t="n">
        <v>46318</v>
      </c>
      <c r="F232" t="inlineStr">
        <is>
          <t>VÄSTRA GÖTALANDS LÄN</t>
        </is>
      </c>
      <c r="G232" t="inlineStr">
        <is>
          <t>BOLLEBYGD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46318</v>
      </c>
      <c r="F233" t="inlineStr">
        <is>
          <t>VÄSTRA GÖTALANDS LÄN</t>
        </is>
      </c>
      <c r="G233" t="inlineStr">
        <is>
          <t>BOLLEBYGD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46318</v>
      </c>
      <c r="F234" t="inlineStr">
        <is>
          <t>VÄSTRA GÖTALANDS LÄN</t>
        </is>
      </c>
      <c r="G234" t="inlineStr">
        <is>
          <t>BOLLEBYGD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46318</v>
      </c>
      <c r="F235" t="inlineStr">
        <is>
          <t>VÄSTRA GÖTALANDS LÄN</t>
        </is>
      </c>
      <c r="G235" t="inlineStr">
        <is>
          <t>BOLLEBYGD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46318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46318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45308</v>
      </c>
      <c r="E238" s="1" t="n">
        <v>46318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46318</v>
      </c>
      <c r="F239" t="inlineStr">
        <is>
          <t>VÄSTRA GÖTALANDS LÄN</t>
        </is>
      </c>
      <c r="G239" t="inlineStr">
        <is>
          <t>BOLLEBYGD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46318</v>
      </c>
      <c r="F240" t="inlineStr">
        <is>
          <t>VÄSTRA GÖTALANDS LÄN</t>
        </is>
      </c>
      <c r="G240" t="inlineStr">
        <is>
          <t>BOLLEBYGD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46318</v>
      </c>
      <c r="F241" t="inlineStr">
        <is>
          <t>VÄSTRA GÖTALANDS LÄN</t>
        </is>
      </c>
      <c r="G241" t="inlineStr">
        <is>
          <t>BOLLEBYGD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46318</v>
      </c>
      <c r="F242" t="inlineStr">
        <is>
          <t>VÄSTRA GÖTALANDS LÄN</t>
        </is>
      </c>
      <c r="G242" t="inlineStr">
        <is>
          <t>BOLLEBYGD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2751-2025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45934</v>
      </c>
      <c r="E243" s="1" t="n">
        <v>46318</v>
      </c>
      <c r="F243" t="inlineStr">
        <is>
          <t>VÄSTRA GÖTALANDS LÄN</t>
        </is>
      </c>
      <c r="G243" t="inlineStr">
        <is>
          <t>BOLLEBYGD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1396-2026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46154</v>
      </c>
      <c r="E244" s="1" t="n">
        <v>46318</v>
      </c>
      <c r="F244" t="inlineStr">
        <is>
          <t>VÄSTRA GÖTALANDS LÄN</t>
        </is>
      </c>
      <c r="G244" t="inlineStr">
        <is>
          <t>BOLLEBYGD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2143-2026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46246</v>
      </c>
      <c r="E245" s="1" t="n">
        <v>46318</v>
      </c>
      <c r="F245" t="inlineStr">
        <is>
          <t>VÄSTRA GÖTALANDS LÄN</t>
        </is>
      </c>
      <c r="G245" t="inlineStr">
        <is>
          <t>BOLLEBYGD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2026-10-23T02:03:47Z</dcterms:created>
  <dcterms:modified xmlns:dcterms="http://purl.org/dc/terms/" xmlns:xsi="http://www.w3.org/2001/XMLSchema-instance" xsi:type="dcterms:W3CDTF">2026-10-23T02:03:48Z</dcterms:modified>
</cp:coreProperties>
</file>