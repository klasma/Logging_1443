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59493-2025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45989</v>
      </c>
      <c r="E2" s="1" t="n">
        <v>46278</v>
      </c>
      <c r="F2" t="inlineStr">
        <is>
          <t>VÄSTRA GÖTALANDS LÄN</t>
        </is>
      </c>
      <c r="G2" t="inlineStr">
        <is>
          <t>BOLLEBYGD</t>
        </is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11</v>
      </c>
      <c r="U2" t="n">
        <v>11</v>
      </c>
      <c r="V2" s="2" t="inlineStr">
        <is>
          <t>Talltita
Blåmossa
Västlig hakmossa
Tjäder
Tofsmes
Åkergroda
Kopparödla</t>
        </is>
      </c>
      <c r="W2">
        <f>HYPERLINK("https://klasma.github.io/Logging_1443/artfynd/A 59493-2025 artfynd.xlsx", "A 59493-2025")</f>
        <v/>
      </c>
      <c r="X2">
        <f>HYPERLINK("https://klasma.github.io/Logging_1443/kartor/A 59493-2025 karta.png", "A 59493-2025")</f>
        <v/>
      </c>
      <c r="Y2">
        <f>HYPERLINK("https://klasma.github.io/Logging_1443/kartor_geotiff/A 59493-2025 georefererad karta.tif", "A 59493-2025")</f>
        <v/>
      </c>
      <c r="AA2">
        <f>HYPERLINK("https://klasma.github.io/Logging_1443/klagomål/A 59493-2025 FSC-klagomål.docx", "A 59493-2025")</f>
        <v/>
      </c>
      <c r="AB2">
        <f>HYPERLINK("https://klasma.github.io/Logging_1443/klagomålsmail/A 59493-2025 FSC-klagomål mail.docx", "A 59493-2025")</f>
        <v/>
      </c>
      <c r="AC2">
        <f>HYPERLINK("https://klasma.github.io/Logging_1443/tillsyn/A 59493-2025 tillsynsbegäran.docx", "A 59493-2025")</f>
        <v/>
      </c>
      <c r="AD2">
        <f>HYPERLINK("https://klasma.github.io/Logging_1443/tillsynsmail/A 59493-2025 tillsynsbegäran mail.docx", "A 59493-2025")</f>
        <v/>
      </c>
      <c r="AE2">
        <f>HYPERLINK("https://klasma.github.io/Logging_1443/fåglar/A 59493-2025 prioriterade fågelarter.docx", "A 59493-2025")</f>
        <v/>
      </c>
    </row>
    <row r="3" ht="15" customHeight="1">
      <c r="A3" t="inlineStr">
        <is>
          <t>A 52087-2025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45952</v>
      </c>
      <c r="E3" s="1" t="n">
        <v>46278</v>
      </c>
      <c r="F3" t="inlineStr">
        <is>
          <t>VÄSTRA GÖTALANDS LÄN</t>
        </is>
      </c>
      <c r="G3" t="inlineStr">
        <is>
          <t>BOLLEBYGD</t>
        </is>
      </c>
      <c r="I3" t="n">
        <v>10.6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7</v>
      </c>
      <c r="T3" t="n">
        <v>27</v>
      </c>
      <c r="U3" t="n">
        <v>27</v>
      </c>
      <c r="V3" s="2" t="inlineStr">
        <is>
          <t>Blåmossa
Kornknutmossa
Stor revmossa
Västlig hakmossa
Tjäder
Sångsvan
Revlummer</t>
        </is>
      </c>
      <c r="W3">
        <f>HYPERLINK("https://klasma.github.io/Logging_1443/artfynd/A 52087-2025 artfynd.xlsx", "A 52087-2025")</f>
        <v/>
      </c>
      <c r="X3">
        <f>HYPERLINK("https://klasma.github.io/Logging_1443/kartor/A 52087-2025 karta.png", "A 52087-2025")</f>
        <v/>
      </c>
      <c r="Y3">
        <f>HYPERLINK("https://klasma.github.io/Logging_1443/kartor_geotiff/A 52087-2025 georefererad karta.tif", "A 52087-2025")</f>
        <v/>
      </c>
      <c r="AA3">
        <f>HYPERLINK("https://klasma.github.io/Logging_1443/klagomål/A 52087-2025 FSC-klagomål.docx", "A 52087-2025")</f>
        <v/>
      </c>
      <c r="AB3">
        <f>HYPERLINK("https://klasma.github.io/Logging_1443/klagomålsmail/A 52087-2025 FSC-klagomål mail.docx", "A 52087-2025")</f>
        <v/>
      </c>
      <c r="AC3">
        <f>HYPERLINK("https://klasma.github.io/Logging_1443/tillsyn/A 52087-2025 tillsynsbegäran.docx", "A 52087-2025")</f>
        <v/>
      </c>
      <c r="AD3">
        <f>HYPERLINK("https://klasma.github.io/Logging_1443/tillsynsmail/A 52087-2025 tillsynsbegäran mail.docx", "A 52087-2025")</f>
        <v/>
      </c>
      <c r="AE3">
        <f>HYPERLINK("https://klasma.github.io/Logging_1443/fåglar/A 52087-2025 prioriterade fågelarter.docx", "A 52087-2025")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46278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46278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46278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46278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46278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46278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46278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46278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46278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46278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46278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46278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46278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46278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46278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26670-2026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46278</v>
      </c>
      <c r="F19" t="inlineStr">
        <is>
          <t>VÄSTRA GÖTALANDS LÄN</t>
        </is>
      </c>
      <c r="G19" t="inlineStr">
        <is>
          <t>BOLLEBYGD</t>
        </is>
      </c>
      <c r="I19" t="n">
        <v>15.4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Tofsmes
Grönsiska</t>
        </is>
      </c>
      <c r="W19">
        <f>HYPERLINK("https://klasma.github.io/Logging_1443/artfynd/A 26670-2026 artfynd.xlsx", "A 26670-2026")</f>
        <v/>
      </c>
      <c r="X19">
        <f>HYPERLINK("https://klasma.github.io/Logging_1443/kartor/A 26670-2026 karta.png", "A 26670-2026")</f>
        <v/>
      </c>
      <c r="Y19">
        <f>HYPERLINK("https://klasma.github.io/Logging_1443/kartor_geotiff/A 26670-2026 georefererad karta.tif", "A 26670-2026")</f>
        <v/>
      </c>
      <c r="AA19">
        <f>HYPERLINK("https://klasma.github.io/Logging_1443/klagomål/A 26670-2026 FSC-klagomål.docx", "A 26670-2026")</f>
        <v/>
      </c>
      <c r="AB19">
        <f>HYPERLINK("https://klasma.github.io/Logging_1443/klagomålsmail/A 26670-2026 FSC-klagomål mail.docx", "A 26670-2026")</f>
        <v/>
      </c>
      <c r="AC19">
        <f>HYPERLINK("https://klasma.github.io/Logging_1443/tillsyn/A 26670-2026 tillsynsbegäran.docx", "A 26670-2026")</f>
        <v/>
      </c>
      <c r="AD19">
        <f>HYPERLINK("https://klasma.github.io/Logging_1443/tillsynsmail/A 26670-2026 tillsynsbegäran mail.docx", "A 26670-2026")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46278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46278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46278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46278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46278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7339-2025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45703</v>
      </c>
      <c r="E25" s="1" t="n">
        <v>46278</v>
      </c>
      <c r="F25" t="inlineStr">
        <is>
          <t>VÄSTRA GÖTALANDS LÄN</t>
        </is>
      </c>
      <c r="G25" t="inlineStr">
        <is>
          <t>BOLLEBYGD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Bäckbräsma</t>
        </is>
      </c>
      <c r="W25">
        <f>HYPERLINK("https://klasma.github.io/Logging_1443/artfynd/A 7339-2025 artfynd.xlsx", "A 7339-2025")</f>
        <v/>
      </c>
      <c r="X25">
        <f>HYPERLINK("https://klasma.github.io/Logging_1443/kartor/A 7339-2025 karta.png", "A 7339-2025")</f>
        <v/>
      </c>
      <c r="Y25">
        <f>HYPERLINK("https://klasma.github.io/Logging_1443/kartor_geotiff/A 7339-2025 georefererad karta.tif", "A 7339-2025")</f>
        <v/>
      </c>
      <c r="AA25">
        <f>HYPERLINK("https://klasma.github.io/Logging_1443/klagomål/A 7339-2025 FSC-klagomål.docx", "A 7339-2025")</f>
        <v/>
      </c>
      <c r="AB25">
        <f>HYPERLINK("https://klasma.github.io/Logging_1443/klagomålsmail/A 7339-2025 FSC-klagomål mail.docx", "A 7339-2025")</f>
        <v/>
      </c>
      <c r="AC25">
        <f>HYPERLINK("https://klasma.github.io/Logging_1443/tillsyn/A 7339-2025 tillsynsbegäran.docx", "A 7339-2025")</f>
        <v/>
      </c>
      <c r="AD25">
        <f>HYPERLINK("https://klasma.github.io/Logging_1443/tillsynsmail/A 7339-2025 tillsynsbegäran mail.docx", "A 7339-2025")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46278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46278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46278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46278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46278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46278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46278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46278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46278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46278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46278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46278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46278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46278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46278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39556-2022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44818</v>
      </c>
      <c r="E41" s="1" t="n">
        <v>46278</v>
      </c>
      <c r="F41" t="inlineStr">
        <is>
          <t>VÄSTRA GÖTALANDS LÄN</t>
        </is>
      </c>
      <c r="G41" t="inlineStr">
        <is>
          <t>BOLLEBYGD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45377</v>
      </c>
      <c r="E42" s="1" t="n">
        <v>46278</v>
      </c>
      <c r="F42" t="inlineStr">
        <is>
          <t>VÄSTRA GÖTALANDS LÄN</t>
        </is>
      </c>
      <c r="G42" t="inlineStr">
        <is>
          <t>BOLLEBYGD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46511-2023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46278</v>
      </c>
      <c r="F43" t="inlineStr">
        <is>
          <t>VÄSTRA GÖTALANDS LÄN</t>
        </is>
      </c>
      <c r="G43" t="inlineStr">
        <is>
          <t>BOLLEBYGD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46278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46278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46278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46278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46278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45328</v>
      </c>
      <c r="E49" s="1" t="n">
        <v>46278</v>
      </c>
      <c r="F49" t="inlineStr">
        <is>
          <t>VÄSTRA GÖTALANDS LÄN</t>
        </is>
      </c>
      <c r="G49" t="inlineStr">
        <is>
          <t>BOLLEBYGD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44946</v>
      </c>
      <c r="E50" s="1" t="n">
        <v>46278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45303</v>
      </c>
      <c r="E51" s="1" t="n">
        <v>46278</v>
      </c>
      <c r="F51" t="inlineStr">
        <is>
          <t>VÄSTRA GÖTALANDS LÄN</t>
        </is>
      </c>
      <c r="G51" t="inlineStr">
        <is>
          <t>BOLLEBYGD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46278</v>
      </c>
      <c r="F52" t="inlineStr">
        <is>
          <t>VÄSTRA GÖTALANDS LÄN</t>
        </is>
      </c>
      <c r="G52" t="inlineStr">
        <is>
          <t>BOLLEBYGD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46278</v>
      </c>
      <c r="F53" t="inlineStr">
        <is>
          <t>VÄSTRA GÖTALANDS LÄN</t>
        </is>
      </c>
      <c r="G53" t="inlineStr">
        <is>
          <t>BOLLEBYGD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46278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46278</v>
      </c>
      <c r="F55" t="inlineStr">
        <is>
          <t>VÄSTRA GÖTALANDS LÄN</t>
        </is>
      </c>
      <c r="G55" t="inlineStr">
        <is>
          <t>BOLLEBYGD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46278</v>
      </c>
      <c r="F56" t="inlineStr">
        <is>
          <t>VÄSTRA GÖTALANDS LÄN</t>
        </is>
      </c>
      <c r="G56" t="inlineStr">
        <is>
          <t>BOLLEBYGD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70708-2021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46278</v>
      </c>
      <c r="F57" t="inlineStr">
        <is>
          <t>VÄSTRA GÖTALANDS LÄN</t>
        </is>
      </c>
      <c r="G57" t="inlineStr">
        <is>
          <t>BOLLEBYGD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46278</v>
      </c>
      <c r="F58" t="inlineStr">
        <is>
          <t>VÄSTRA GÖTALANDS LÄN</t>
        </is>
      </c>
      <c r="G58" t="inlineStr">
        <is>
          <t>BOLLEBYGD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23330-2024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45453</v>
      </c>
      <c r="E59" s="1" t="n">
        <v>46278</v>
      </c>
      <c r="F59" t="inlineStr">
        <is>
          <t>VÄSTRA GÖTALANDS LÄN</t>
        </is>
      </c>
      <c r="G59" t="inlineStr">
        <is>
          <t>BOLLEBYGD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57036-2024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45629</v>
      </c>
      <c r="E60" s="1" t="n">
        <v>46278</v>
      </c>
      <c r="F60" t="inlineStr">
        <is>
          <t>VÄSTRA GÖTALANDS LÄN</t>
        </is>
      </c>
      <c r="G60" t="inlineStr">
        <is>
          <t>BOLLEBYGD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45358</v>
      </c>
      <c r="E61" s="1" t="n">
        <v>46278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50302-2023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45216</v>
      </c>
      <c r="E62" s="1" t="n">
        <v>46278</v>
      </c>
      <c r="F62" t="inlineStr">
        <is>
          <t>VÄSTRA GÖTALANDS LÄN</t>
        </is>
      </c>
      <c r="G62" t="inlineStr">
        <is>
          <t>BOLLEBYGD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11021-2022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46278</v>
      </c>
      <c r="F63" t="inlineStr">
        <is>
          <t>VÄSTRA GÖTALANDS LÄN</t>
        </is>
      </c>
      <c r="G63" t="inlineStr">
        <is>
          <t>BOLLEBYGD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53055-2024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46278</v>
      </c>
      <c r="F64" t="inlineStr">
        <is>
          <t>VÄSTRA GÖTALANDS LÄN</t>
        </is>
      </c>
      <c r="G64" t="inlineStr">
        <is>
          <t>BOLLEBYGD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45118</v>
      </c>
      <c r="E65" s="1" t="n">
        <v>46278</v>
      </c>
      <c r="F65" t="inlineStr">
        <is>
          <t>VÄSTRA GÖTALANDS LÄN</t>
        </is>
      </c>
      <c r="G65" t="inlineStr">
        <is>
          <t>BOLLEBYGD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28040-2024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45476</v>
      </c>
      <c r="E66" s="1" t="n">
        <v>46278</v>
      </c>
      <c r="F66" t="inlineStr">
        <is>
          <t>VÄSTRA GÖTALANDS LÄN</t>
        </is>
      </c>
      <c r="G66" t="inlineStr">
        <is>
          <t>BOLLEBYGD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22834-2024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46278</v>
      </c>
      <c r="F67" t="inlineStr">
        <is>
          <t>VÄSTRA GÖTALANDS LÄN</t>
        </is>
      </c>
      <c r="G67" t="inlineStr">
        <is>
          <t>BOLLEBYGD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46278</v>
      </c>
      <c r="F68" t="inlineStr">
        <is>
          <t>VÄSTRA GÖTALANDS LÄN</t>
        </is>
      </c>
      <c r="G68" t="inlineStr">
        <is>
          <t>BOLLEBYGD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44658</v>
      </c>
      <c r="E69" s="1" t="n">
        <v>46278</v>
      </c>
      <c r="F69" t="inlineStr">
        <is>
          <t>VÄSTRA GÖTALANDS LÄN</t>
        </is>
      </c>
      <c r="G69" t="inlineStr">
        <is>
          <t>BOLLEBYGD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44946</v>
      </c>
      <c r="E70" s="1" t="n">
        <v>46278</v>
      </c>
      <c r="F70" t="inlineStr">
        <is>
          <t>VÄSTRA GÖTALANDS LÄN</t>
        </is>
      </c>
      <c r="G70" t="inlineStr">
        <is>
          <t>BOLLEBYGD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45254</v>
      </c>
      <c r="E71" s="1" t="n">
        <v>46278</v>
      </c>
      <c r="F71" t="inlineStr">
        <is>
          <t>VÄSTRA GÖTALANDS LÄN</t>
        </is>
      </c>
      <c r="G71" t="inlineStr">
        <is>
          <t>BOLLEBYGD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46278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46278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46278</v>
      </c>
      <c r="F74" t="inlineStr">
        <is>
          <t>VÄSTRA GÖTALANDS LÄN</t>
        </is>
      </c>
      <c r="G74" t="inlineStr">
        <is>
          <t>BOLLEBYGD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32506-2025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45838</v>
      </c>
      <c r="E75" s="1" t="n">
        <v>46278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44981</v>
      </c>
      <c r="E76" s="1" t="n">
        <v>46278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47522-2024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46278</v>
      </c>
      <c r="F77" t="inlineStr">
        <is>
          <t>VÄSTRA GÖTALANDS LÄN</t>
        </is>
      </c>
      <c r="G77" t="inlineStr">
        <is>
          <t>BOLLEBYGD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45836</v>
      </c>
      <c r="E78" s="1" t="n">
        <v>46278</v>
      </c>
      <c r="F78" t="inlineStr">
        <is>
          <t>VÄSTRA GÖTALANDS LÄN</t>
        </is>
      </c>
      <c r="G78" t="inlineStr">
        <is>
          <t>BOLLEBYGD</t>
        </is>
      </c>
      <c r="I78" t="n">
        <v>11.7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45288</v>
      </c>
      <c r="E79" s="1" t="n">
        <v>46278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45070</v>
      </c>
      <c r="E80" s="1" t="n">
        <v>46278</v>
      </c>
      <c r="F80" t="inlineStr">
        <is>
          <t>VÄSTRA GÖTALANDS LÄN</t>
        </is>
      </c>
      <c r="G80" t="inlineStr">
        <is>
          <t>BOLLEBYGD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46278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46278</v>
      </c>
      <c r="F82" t="inlineStr">
        <is>
          <t>VÄSTRA GÖTALANDS LÄN</t>
        </is>
      </c>
      <c r="G82" t="inlineStr">
        <is>
          <t>BOLLEBYGD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30801-2023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46278</v>
      </c>
      <c r="F83" t="inlineStr">
        <is>
          <t>VÄSTRA GÖTALANDS LÄN</t>
        </is>
      </c>
      <c r="G83" t="inlineStr">
        <is>
          <t>BOLLEBYGD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56331-2024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45624</v>
      </c>
      <c r="E84" s="1" t="n">
        <v>46278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46278</v>
      </c>
      <c r="F85" t="inlineStr">
        <is>
          <t>VÄSTRA GÖTALANDS LÄN</t>
        </is>
      </c>
      <c r="G85" t="inlineStr">
        <is>
          <t>BOLLEBYGD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28158-2024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45476</v>
      </c>
      <c r="E86" s="1" t="n">
        <v>46278</v>
      </c>
      <c r="F86" t="inlineStr">
        <is>
          <t>VÄSTRA GÖTALANDS LÄN</t>
        </is>
      </c>
      <c r="G86" t="inlineStr">
        <is>
          <t>BOLLEBYGD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45872</v>
      </c>
      <c r="E87" s="1" t="n">
        <v>46278</v>
      </c>
      <c r="F87" t="inlineStr">
        <is>
          <t>VÄSTRA GÖTALANDS LÄN</t>
        </is>
      </c>
      <c r="G87" t="inlineStr">
        <is>
          <t>BOLLEBYGD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47279-2025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46278</v>
      </c>
      <c r="F88" t="inlineStr">
        <is>
          <t>VÄSTRA GÖTALANDS LÄN</t>
        </is>
      </c>
      <c r="G88" t="inlineStr">
        <is>
          <t>BOLLEBYGD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47258-2025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46278</v>
      </c>
      <c r="F89" t="inlineStr">
        <is>
          <t>VÄSTRA GÖTALANDS LÄN</t>
        </is>
      </c>
      <c r="G89" t="inlineStr">
        <is>
          <t>BOLLEBYGD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31546-2022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44775</v>
      </c>
      <c r="E90" s="1" t="n">
        <v>46278</v>
      </c>
      <c r="F90" t="inlineStr">
        <is>
          <t>VÄSTRA GÖTALANDS LÄN</t>
        </is>
      </c>
      <c r="G90" t="inlineStr">
        <is>
          <t>BOLLEBYGD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45112</v>
      </c>
      <c r="E91" s="1" t="n">
        <v>46278</v>
      </c>
      <c r="F91" t="inlineStr">
        <is>
          <t>VÄSTRA GÖTALANDS LÄN</t>
        </is>
      </c>
      <c r="G91" t="inlineStr">
        <is>
          <t>BOLLEBYGD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25928-2023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45090</v>
      </c>
      <c r="E92" s="1" t="n">
        <v>46278</v>
      </c>
      <c r="F92" t="inlineStr">
        <is>
          <t>VÄSTRA GÖTALANDS LÄN</t>
        </is>
      </c>
      <c r="G92" t="inlineStr">
        <is>
          <t>BOLLEBYGD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48212-2025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45933</v>
      </c>
      <c r="E93" s="1" t="n">
        <v>46278</v>
      </c>
      <c r="F93" t="inlineStr">
        <is>
          <t>VÄSTRA GÖTALANDS LÄN</t>
        </is>
      </c>
      <c r="G93" t="inlineStr">
        <is>
          <t>BOLLEBYGD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51564-2024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45604</v>
      </c>
      <c r="E94" s="1" t="n">
        <v>46278</v>
      </c>
      <c r="F94" t="inlineStr">
        <is>
          <t>VÄSTRA GÖTALANDS LÄN</t>
        </is>
      </c>
      <c r="G94" t="inlineStr">
        <is>
          <t>BOLLEBYGD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46278</v>
      </c>
      <c r="F95" t="inlineStr">
        <is>
          <t>VÄSTRA GÖTALANDS LÄN</t>
        </is>
      </c>
      <c r="G95" t="inlineStr">
        <is>
          <t>BOLLEBYGD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11584-2026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46084</v>
      </c>
      <c r="E96" s="1" t="n">
        <v>46278</v>
      </c>
      <c r="F96" t="inlineStr">
        <is>
          <t>VÄSTRA GÖTALANDS LÄN</t>
        </is>
      </c>
      <c r="G96" t="inlineStr">
        <is>
          <t>BOLLEBYGD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46278</v>
      </c>
      <c r="F97" t="inlineStr">
        <is>
          <t>VÄSTRA GÖTALANDS LÄN</t>
        </is>
      </c>
      <c r="G97" t="inlineStr">
        <is>
          <t>BOLLEBYGD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46090</v>
      </c>
      <c r="E98" s="1" t="n">
        <v>46278</v>
      </c>
      <c r="F98" t="inlineStr">
        <is>
          <t>VÄSTRA GÖTALANDS LÄN</t>
        </is>
      </c>
      <c r="G98" t="inlineStr">
        <is>
          <t>BOLLEBYGD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12503-2026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46090</v>
      </c>
      <c r="E99" s="1" t="n">
        <v>46278</v>
      </c>
      <c r="F99" t="inlineStr">
        <is>
          <t>VÄSTRA GÖTALANDS LÄN</t>
        </is>
      </c>
      <c r="G99" t="inlineStr">
        <is>
          <t>BOLLEBYGD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46278</v>
      </c>
      <c r="F100" t="inlineStr">
        <is>
          <t>VÄSTRA GÖTALANDS LÄN</t>
        </is>
      </c>
      <c r="G100" t="inlineStr">
        <is>
          <t>BOLLEBYGD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46093</v>
      </c>
      <c r="E101" s="1" t="n">
        <v>46278</v>
      </c>
      <c r="F101" t="inlineStr">
        <is>
          <t>VÄSTRA GÖTALANDS LÄN</t>
        </is>
      </c>
      <c r="G101" t="inlineStr">
        <is>
          <t>BOLLEBYGD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12879-2026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46092</v>
      </c>
      <c r="E102" s="1" t="n">
        <v>46278</v>
      </c>
      <c r="F102" t="inlineStr">
        <is>
          <t>VÄSTRA GÖTALANDS LÄN</t>
        </is>
      </c>
      <c r="G102" t="inlineStr">
        <is>
          <t>BOLLEBYGD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31746-2023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45117</v>
      </c>
      <c r="E103" s="1" t="n">
        <v>46278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14111-2026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46099</v>
      </c>
      <c r="E104" s="1" t="n">
        <v>46278</v>
      </c>
      <c r="F104" t="inlineStr">
        <is>
          <t>VÄSTRA GÖTALANDS LÄN</t>
        </is>
      </c>
      <c r="G104" t="inlineStr">
        <is>
          <t>BOLLEBYGD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14545-2026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46100</v>
      </c>
      <c r="E105" s="1" t="n">
        <v>46278</v>
      </c>
      <c r="F105" t="inlineStr">
        <is>
          <t>VÄSTRA GÖTALANDS LÄN</t>
        </is>
      </c>
      <c r="G105" t="inlineStr">
        <is>
          <t>BOLLEBYGD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46278</v>
      </c>
      <c r="F106" t="inlineStr">
        <is>
          <t>VÄSTRA GÖTALANDS LÄN</t>
        </is>
      </c>
      <c r="G106" t="inlineStr">
        <is>
          <t>BOLLEBYGD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46278</v>
      </c>
      <c r="F107" t="inlineStr">
        <is>
          <t>VÄSTRA GÖTALANDS LÄN</t>
        </is>
      </c>
      <c r="G107" t="inlineStr">
        <is>
          <t>BOLLEBYGD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46278</v>
      </c>
      <c r="F108" t="inlineStr">
        <is>
          <t>VÄSTRA GÖTALANDS LÄN</t>
        </is>
      </c>
      <c r="G108" t="inlineStr">
        <is>
          <t>BOLLEBYGD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45951</v>
      </c>
      <c r="E109" s="1" t="n">
        <v>46278</v>
      </c>
      <c r="F109" t="inlineStr">
        <is>
          <t>VÄSTRA GÖTALANDS LÄN</t>
        </is>
      </c>
      <c r="G109" t="inlineStr">
        <is>
          <t>BOLLEBYGD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46278</v>
      </c>
      <c r="F110" t="inlineStr">
        <is>
          <t>VÄSTRA GÖTALANDS LÄN</t>
        </is>
      </c>
      <c r="G110" t="inlineStr">
        <is>
          <t>BOLLEBYGD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58010-2022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44900</v>
      </c>
      <c r="E111" s="1" t="n">
        <v>46278</v>
      </c>
      <c r="F111" t="inlineStr">
        <is>
          <t>VÄSTRA GÖTALANDS LÄN</t>
        </is>
      </c>
      <c r="G111" t="inlineStr">
        <is>
          <t>BOLLEBYGD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52511-2025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46278</v>
      </c>
      <c r="F112" t="inlineStr">
        <is>
          <t>VÄSTRA GÖTALANDS LÄN</t>
        </is>
      </c>
      <c r="G112" t="inlineStr">
        <is>
          <t>BOLLEBYGD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46278</v>
      </c>
      <c r="F113" t="inlineStr">
        <is>
          <t>VÄSTRA GÖTALANDS LÄN</t>
        </is>
      </c>
      <c r="G113" t="inlineStr">
        <is>
          <t>BOLLEBYGD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51314-2023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45219</v>
      </c>
      <c r="E114" s="1" t="n">
        <v>46278</v>
      </c>
      <c r="F114" t="inlineStr">
        <is>
          <t>VÄSTRA GÖTALANDS LÄN</t>
        </is>
      </c>
      <c r="G114" t="inlineStr">
        <is>
          <t>BOLLEBYGD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50647-2021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46278</v>
      </c>
      <c r="F115" t="inlineStr">
        <is>
          <t>VÄSTRA GÖTALANDS LÄN</t>
        </is>
      </c>
      <c r="G115" t="inlineStr">
        <is>
          <t>BOLLEBYGD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45957</v>
      </c>
      <c r="E116" s="1" t="n">
        <v>46278</v>
      </c>
      <c r="F116" t="inlineStr">
        <is>
          <t>VÄSTRA GÖTALANDS LÄN</t>
        </is>
      </c>
      <c r="G116" t="inlineStr">
        <is>
          <t>BOLLEBYGD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45204</v>
      </c>
      <c r="E117" s="1" t="n">
        <v>46278</v>
      </c>
      <c r="F117" t="inlineStr">
        <is>
          <t>VÄSTRA GÖTALANDS LÄN</t>
        </is>
      </c>
      <c r="G117" t="inlineStr">
        <is>
          <t>BOLLEBYGD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45709</v>
      </c>
      <c r="E118" s="1" t="n">
        <v>46278</v>
      </c>
      <c r="F118" t="inlineStr">
        <is>
          <t>VÄSTRA GÖTALANDS LÄN</t>
        </is>
      </c>
      <c r="G118" t="inlineStr">
        <is>
          <t>BOLLEBYGD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18337-2023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45041</v>
      </c>
      <c r="E119" s="1" t="n">
        <v>46278</v>
      </c>
      <c r="F119" t="inlineStr">
        <is>
          <t>VÄSTRA GÖTALANDS LÄN</t>
        </is>
      </c>
      <c r="G119" t="inlineStr">
        <is>
          <t>BOLLEBYGD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46278</v>
      </c>
      <c r="F120" t="inlineStr">
        <is>
          <t>VÄSTRA GÖTALANDS LÄN</t>
        </is>
      </c>
      <c r="G120" t="inlineStr">
        <is>
          <t>BOLLEBYGD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67455-2021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46278</v>
      </c>
      <c r="F121" t="inlineStr">
        <is>
          <t>VÄSTRA GÖTALANDS LÄN</t>
        </is>
      </c>
      <c r="G121" t="inlineStr">
        <is>
          <t>BOLLEBYGD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45982</v>
      </c>
      <c r="E122" s="1" t="n">
        <v>46278</v>
      </c>
      <c r="F122" t="inlineStr">
        <is>
          <t>VÄSTRA GÖTALANDS LÄN</t>
        </is>
      </c>
      <c r="G122" t="inlineStr">
        <is>
          <t>BOLLEBYGD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46278</v>
      </c>
      <c r="F123" t="inlineStr">
        <is>
          <t>VÄSTRA GÖTALANDS LÄN</t>
        </is>
      </c>
      <c r="G123" t="inlineStr">
        <is>
          <t>BOLLEBYGD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45112</v>
      </c>
      <c r="E124" s="1" t="n">
        <v>46278</v>
      </c>
      <c r="F124" t="inlineStr">
        <is>
          <t>VÄSTRA GÖTALANDS LÄN</t>
        </is>
      </c>
      <c r="G124" t="inlineStr">
        <is>
          <t>BOLLEBYGD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46278</v>
      </c>
      <c r="F125" t="inlineStr">
        <is>
          <t>VÄSTRA GÖTALANDS LÄN</t>
        </is>
      </c>
      <c r="G125" t="inlineStr">
        <is>
          <t>BOLLEBYGD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46278</v>
      </c>
      <c r="F126" t="inlineStr">
        <is>
          <t>VÄSTRA GÖTALANDS LÄN</t>
        </is>
      </c>
      <c r="G126" t="inlineStr">
        <is>
          <t>BOLLEBYGD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46278</v>
      </c>
      <c r="F127" t="inlineStr">
        <is>
          <t>VÄSTRA GÖTALANDS LÄN</t>
        </is>
      </c>
      <c r="G127" t="inlineStr">
        <is>
          <t>BOLLEBYGD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46278</v>
      </c>
      <c r="F128" t="inlineStr">
        <is>
          <t>VÄSTRA GÖTALANDS LÄN</t>
        </is>
      </c>
      <c r="G128" t="inlineStr">
        <is>
          <t>BOLLEBYGD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46278</v>
      </c>
      <c r="F129" t="inlineStr">
        <is>
          <t>VÄSTRA GÖTALANDS LÄN</t>
        </is>
      </c>
      <c r="G129" t="inlineStr">
        <is>
          <t>BOLLEBYGD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46278</v>
      </c>
      <c r="F130" t="inlineStr">
        <is>
          <t>VÄSTRA GÖTALANDS LÄN</t>
        </is>
      </c>
      <c r="G130" t="inlineStr">
        <is>
          <t>BOLLEBYGD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45117</v>
      </c>
      <c r="E131" s="1" t="n">
        <v>46278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60089-2025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45993</v>
      </c>
      <c r="E132" s="1" t="n">
        <v>46278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46278</v>
      </c>
      <c r="F133" t="inlineStr">
        <is>
          <t>VÄSTRA GÖTALANDS LÄN</t>
        </is>
      </c>
      <c r="G133" t="inlineStr">
        <is>
          <t>BOLLEBYGD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19644-2026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46134</v>
      </c>
      <c r="E134" s="1" t="n">
        <v>46278</v>
      </c>
      <c r="F134" t="inlineStr">
        <is>
          <t>VÄSTRA GÖTALANDS LÄN</t>
        </is>
      </c>
      <c r="G134" t="inlineStr">
        <is>
          <t>BOLLEBYGD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59872-2025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45992</v>
      </c>
      <c r="E135" s="1" t="n">
        <v>46278</v>
      </c>
      <c r="F135" t="inlineStr">
        <is>
          <t>VÄSTRA GÖTALANDS LÄN</t>
        </is>
      </c>
      <c r="G135" t="inlineStr">
        <is>
          <t>BOLLEBYGD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45994</v>
      </c>
      <c r="E136" s="1" t="n">
        <v>46278</v>
      </c>
      <c r="F136" t="inlineStr">
        <is>
          <t>VÄSTRA GÖTALANDS LÄN</t>
        </is>
      </c>
      <c r="G136" t="inlineStr">
        <is>
          <t>BOLLEBYGD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30800-2023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46278</v>
      </c>
      <c r="F137" t="inlineStr">
        <is>
          <t>VÄSTRA GÖTALANDS LÄN</t>
        </is>
      </c>
      <c r="G137" t="inlineStr">
        <is>
          <t>BOLLEBYGD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24368-2022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44726</v>
      </c>
      <c r="E138" s="1" t="n">
        <v>46278</v>
      </c>
      <c r="F138" t="inlineStr">
        <is>
          <t>VÄSTRA GÖTALANDS LÄN</t>
        </is>
      </c>
      <c r="G138" t="inlineStr">
        <is>
          <t>BOLLEBYGD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45999</v>
      </c>
      <c r="E139" s="1" t="n">
        <v>46278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45112</v>
      </c>
      <c r="E140" s="1" t="n">
        <v>46278</v>
      </c>
      <c r="F140" t="inlineStr">
        <is>
          <t>VÄSTRA GÖTALANDS LÄN</t>
        </is>
      </c>
      <c r="G140" t="inlineStr">
        <is>
          <t>BOLLEBYGD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45696</v>
      </c>
      <c r="E141" s="1" t="n">
        <v>46278</v>
      </c>
      <c r="F141" t="inlineStr">
        <is>
          <t>VÄSTRA GÖTALANDS LÄN</t>
        </is>
      </c>
      <c r="G141" t="inlineStr">
        <is>
          <t>BOLLEBYGD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44882</v>
      </c>
      <c r="E142" s="1" t="n">
        <v>46278</v>
      </c>
      <c r="F142" t="inlineStr">
        <is>
          <t>VÄSTRA GÖTALANDS LÄN</t>
        </is>
      </c>
      <c r="G142" t="inlineStr">
        <is>
          <t>BOLLEBYGD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46278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46278</v>
      </c>
      <c r="F144" t="inlineStr">
        <is>
          <t>VÄSTRA GÖTALANDS LÄN</t>
        </is>
      </c>
      <c r="G144" t="inlineStr">
        <is>
          <t>BOLLEBYGD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46278</v>
      </c>
      <c r="F145" t="inlineStr">
        <is>
          <t>VÄSTRA GÖTALANDS LÄN</t>
        </is>
      </c>
      <c r="G145" t="inlineStr">
        <is>
          <t>BOLLEBYGD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46278</v>
      </c>
      <c r="F146" t="inlineStr">
        <is>
          <t>VÄSTRA GÖTALANDS LÄN</t>
        </is>
      </c>
      <c r="G146" t="inlineStr">
        <is>
          <t>BOLLEBYGD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44958</v>
      </c>
      <c r="E147" s="1" t="n">
        <v>46278</v>
      </c>
      <c r="F147" t="inlineStr">
        <is>
          <t>VÄSTRA GÖTALANDS LÄN</t>
        </is>
      </c>
      <c r="G147" t="inlineStr">
        <is>
          <t>BOLLEBYGD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65118-2023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45288</v>
      </c>
      <c r="E148" s="1" t="n">
        <v>46278</v>
      </c>
      <c r="F148" t="inlineStr">
        <is>
          <t>VÄSTRA GÖTALANDS LÄN</t>
        </is>
      </c>
      <c r="G148" t="inlineStr">
        <is>
          <t>BOLLEBYGD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46278</v>
      </c>
      <c r="F149" t="inlineStr">
        <is>
          <t>VÄSTRA GÖTALANDS LÄN</t>
        </is>
      </c>
      <c r="G149" t="inlineStr">
        <is>
          <t>BOLLEBYGD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36131-2024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45534</v>
      </c>
      <c r="E150" s="1" t="n">
        <v>46278</v>
      </c>
      <c r="F150" t="inlineStr">
        <is>
          <t>VÄSTRA GÖTALANDS LÄN</t>
        </is>
      </c>
      <c r="G150" t="inlineStr">
        <is>
          <t>BOLLEBYGD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43398-2024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45568</v>
      </c>
      <c r="E151" s="1" t="n">
        <v>46278</v>
      </c>
      <c r="F151" t="inlineStr">
        <is>
          <t>VÄSTRA GÖTALANDS LÄN</t>
        </is>
      </c>
      <c r="G151" t="inlineStr">
        <is>
          <t>BOLLEBYGD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36532-2024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46278</v>
      </c>
      <c r="F152" t="inlineStr">
        <is>
          <t>VÄSTRA GÖTALANDS LÄN</t>
        </is>
      </c>
      <c r="G152" t="inlineStr">
        <is>
          <t>BOLLEBYGD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46278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46140</v>
      </c>
      <c r="E154" s="1" t="n">
        <v>46278</v>
      </c>
      <c r="F154" t="inlineStr">
        <is>
          <t>VÄSTRA GÖTALANDS LÄN</t>
        </is>
      </c>
      <c r="G154" t="inlineStr">
        <is>
          <t>BOLLEBYGD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46278</v>
      </c>
      <c r="F155" t="inlineStr">
        <is>
          <t>VÄSTRA GÖTALANDS LÄN</t>
        </is>
      </c>
      <c r="G155" t="inlineStr">
        <is>
          <t>BOLLEBYGD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46278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59816-2021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46278</v>
      </c>
      <c r="F157" t="inlineStr">
        <is>
          <t>VÄSTRA GÖTALANDS LÄN</t>
        </is>
      </c>
      <c r="G157" t="inlineStr">
        <is>
          <t>BOLLEBYGD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46278</v>
      </c>
      <c r="F158" t="inlineStr">
        <is>
          <t>VÄSTRA GÖTALANDS LÄN</t>
        </is>
      </c>
      <c r="G158" t="inlineStr">
        <is>
          <t>BOLLEBYGD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45974</v>
      </c>
      <c r="E159" s="1" t="n">
        <v>46278</v>
      </c>
      <c r="F159" t="inlineStr">
        <is>
          <t>VÄSTRA GÖTALANDS LÄN</t>
        </is>
      </c>
      <c r="G159" t="inlineStr">
        <is>
          <t>BOLLEBYGD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46278</v>
      </c>
      <c r="F160" t="inlineStr">
        <is>
          <t>VÄSTRA GÖTALANDS LÄN</t>
        </is>
      </c>
      <c r="G160" t="inlineStr">
        <is>
          <t>BOLLEBYGD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46278</v>
      </c>
      <c r="F161" t="inlineStr">
        <is>
          <t>VÄSTRA GÖTALANDS LÄN</t>
        </is>
      </c>
      <c r="G161" t="inlineStr">
        <is>
          <t>BOLLEBYGD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6745-2023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44966</v>
      </c>
      <c r="E162" s="1" t="n">
        <v>46278</v>
      </c>
      <c r="F162" t="inlineStr">
        <is>
          <t>VÄSTRA GÖTALANDS LÄN</t>
        </is>
      </c>
      <c r="G162" t="inlineStr">
        <is>
          <t>BOLLEBYGD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46052</v>
      </c>
      <c r="E163" s="1" t="n">
        <v>46278</v>
      </c>
      <c r="F163" t="inlineStr">
        <is>
          <t>VÄSTRA GÖTALANDS LÄN</t>
        </is>
      </c>
      <c r="G163" t="inlineStr">
        <is>
          <t>BOLLEBYGD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46278</v>
      </c>
      <c r="F164" t="inlineStr">
        <is>
          <t>VÄSTRA GÖTALANDS LÄN</t>
        </is>
      </c>
      <c r="G164" t="inlineStr">
        <is>
          <t>BOLLEBYGD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46278</v>
      </c>
      <c r="F165" t="inlineStr">
        <is>
          <t>VÄSTRA GÖTALANDS LÄN</t>
        </is>
      </c>
      <c r="G165" t="inlineStr">
        <is>
          <t>BOLLEBYGD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46052</v>
      </c>
      <c r="E166" s="1" t="n">
        <v>46278</v>
      </c>
      <c r="F166" t="inlineStr">
        <is>
          <t>VÄSTRA GÖTALANDS LÄN</t>
        </is>
      </c>
      <c r="G166" t="inlineStr">
        <is>
          <t>BOLLEBYGD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46278</v>
      </c>
      <c r="F167" t="inlineStr">
        <is>
          <t>VÄSTRA GÖTALANDS LÄN</t>
        </is>
      </c>
      <c r="G167" t="inlineStr">
        <is>
          <t>BOLLEBYGD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46278</v>
      </c>
      <c r="F168" t="inlineStr">
        <is>
          <t>VÄSTRA GÖTALANDS LÄN</t>
        </is>
      </c>
      <c r="G168" t="inlineStr">
        <is>
          <t>BOLLEBYGD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45308</v>
      </c>
      <c r="E169" s="1" t="n">
        <v>46278</v>
      </c>
      <c r="F169" t="inlineStr">
        <is>
          <t>VÄSTRA GÖTALANDS LÄN</t>
        </is>
      </c>
      <c r="G169" t="inlineStr">
        <is>
          <t>BOLLEBYGD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46278</v>
      </c>
      <c r="F170" t="inlineStr">
        <is>
          <t>VÄSTRA GÖTALANDS LÄN</t>
        </is>
      </c>
      <c r="G170" t="inlineStr">
        <is>
          <t>BOLLEBYGD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46278</v>
      </c>
      <c r="F171" t="inlineStr">
        <is>
          <t>VÄSTRA GÖTALANDS LÄN</t>
        </is>
      </c>
      <c r="G171" t="inlineStr">
        <is>
          <t>BOLLEBYGD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20782-2026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46278</v>
      </c>
      <c r="F172" t="inlineStr">
        <is>
          <t>VÄSTRA GÖTALANDS LÄN</t>
        </is>
      </c>
      <c r="G172" t="inlineStr">
        <is>
          <t>BOLLEBYGD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44992</v>
      </c>
      <c r="E173" s="1" t="n">
        <v>46278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46278</v>
      </c>
      <c r="F174" t="inlineStr">
        <is>
          <t>VÄSTRA GÖTALANDS LÄN</t>
        </is>
      </c>
      <c r="G174" t="inlineStr">
        <is>
          <t>BOLLEBYGD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46278</v>
      </c>
      <c r="F175" t="inlineStr">
        <is>
          <t>VÄSTRA GÖTALANDS LÄN</t>
        </is>
      </c>
      <c r="G175" t="inlineStr">
        <is>
          <t>BOLLEBYGD</t>
        </is>
      </c>
      <c r="I175" t="n">
        <v>9.699999999999999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46278</v>
      </c>
      <c r="F176" t="inlineStr">
        <is>
          <t>VÄSTRA GÖTALANDS LÄN</t>
        </is>
      </c>
      <c r="G176" t="inlineStr">
        <is>
          <t>BOLLEBYGD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46278</v>
      </c>
      <c r="F177" t="inlineStr">
        <is>
          <t>VÄSTRA GÖTALANDS LÄN</t>
        </is>
      </c>
      <c r="G177" t="inlineStr">
        <is>
          <t>BOLLEBYGD</t>
        </is>
      </c>
      <c r="I177" t="n">
        <v>12.4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45117</v>
      </c>
      <c r="E178" s="1" t="n">
        <v>46278</v>
      </c>
      <c r="F178" t="inlineStr">
        <is>
          <t>VÄSTRA GÖTALANDS LÄN</t>
        </is>
      </c>
      <c r="G178" t="inlineStr">
        <is>
          <t>BOLLEBYGD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46278</v>
      </c>
      <c r="F179" t="inlineStr">
        <is>
          <t>VÄSTRA GÖTALANDS LÄN</t>
        </is>
      </c>
      <c r="G179" t="inlineStr">
        <is>
          <t>BOLLEBYGD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47265-2024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45586</v>
      </c>
      <c r="E180" s="1" t="n">
        <v>46278</v>
      </c>
      <c r="F180" t="inlineStr">
        <is>
          <t>VÄSTRA GÖTALANDS LÄN</t>
        </is>
      </c>
      <c r="G180" t="inlineStr">
        <is>
          <t>BOLLEBYGD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42483-2023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45180</v>
      </c>
      <c r="E181" s="1" t="n">
        <v>46278</v>
      </c>
      <c r="F181" t="inlineStr">
        <is>
          <t>VÄSTRA GÖTALANDS LÄN</t>
        </is>
      </c>
      <c r="G181" t="inlineStr">
        <is>
          <t>BOLLEBYGD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44602</v>
      </c>
      <c r="E182" s="1" t="n">
        <v>46278</v>
      </c>
      <c r="F182" t="inlineStr">
        <is>
          <t>VÄSTRA GÖTALANDS LÄN</t>
        </is>
      </c>
      <c r="G182" t="inlineStr">
        <is>
          <t>BOLLEBYGD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46278</v>
      </c>
      <c r="F183" t="inlineStr">
        <is>
          <t>VÄSTRA GÖTALANDS LÄN</t>
        </is>
      </c>
      <c r="G183" t="inlineStr">
        <is>
          <t>BOLLEBYGD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45117</v>
      </c>
      <c r="E184" s="1" t="n">
        <v>46278</v>
      </c>
      <c r="F184" t="inlineStr">
        <is>
          <t>VÄSTRA GÖTALANDS LÄN</t>
        </is>
      </c>
      <c r="G184" t="inlineStr">
        <is>
          <t>BOLLEBYGD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44683</v>
      </c>
      <c r="E185" s="1" t="n">
        <v>46278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21751-2022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44708</v>
      </c>
      <c r="E186" s="1" t="n">
        <v>46278</v>
      </c>
      <c r="F186" t="inlineStr">
        <is>
          <t>VÄSTRA GÖTALANDS LÄN</t>
        </is>
      </c>
      <c r="G186" t="inlineStr">
        <is>
          <t>BOLLEBYGD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7046-2025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46278</v>
      </c>
      <c r="F187" t="inlineStr">
        <is>
          <t>VÄSTRA GÖTALANDS LÄN</t>
        </is>
      </c>
      <c r="G187" t="inlineStr">
        <is>
          <t>BOLLEBYGD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45180</v>
      </c>
      <c r="E188" s="1" t="n">
        <v>46278</v>
      </c>
      <c r="F188" t="inlineStr">
        <is>
          <t>VÄSTRA GÖTALANDS LÄN</t>
        </is>
      </c>
      <c r="G188" t="inlineStr">
        <is>
          <t>BOLLEBYGD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41910-2024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46278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46278</v>
      </c>
      <c r="F190" t="inlineStr">
        <is>
          <t>VÄSTRA GÖTALANDS LÄN</t>
        </is>
      </c>
      <c r="G190" t="inlineStr">
        <is>
          <t>BOLLEBYGD</t>
        </is>
      </c>
      <c r="I190" t="n">
        <v>7.5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24965-2026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46278</v>
      </c>
      <c r="F191" t="inlineStr">
        <is>
          <t>VÄSTRA GÖTALANDS LÄN</t>
        </is>
      </c>
      <c r="G191" t="inlineStr">
        <is>
          <t>BOLLEBYGD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45254</v>
      </c>
      <c r="E192" s="1" t="n">
        <v>46278</v>
      </c>
      <c r="F192" t="inlineStr">
        <is>
          <t>VÄSTRA GÖTALANDS LÄN</t>
        </is>
      </c>
      <c r="G192" t="inlineStr">
        <is>
          <t>BOLLEBYGD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46278</v>
      </c>
      <c r="F193" t="inlineStr">
        <is>
          <t>VÄSTRA GÖTALANDS LÄN</t>
        </is>
      </c>
      <c r="G193" t="inlineStr">
        <is>
          <t>BOLLEBYGD</t>
        </is>
      </c>
      <c r="I193" t="n">
        <v>7.2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46278</v>
      </c>
      <c r="F194" t="inlineStr">
        <is>
          <t>VÄSTRA GÖTALANDS LÄN</t>
        </is>
      </c>
      <c r="G194" t="inlineStr">
        <is>
          <t>BOLLEBYGD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46278</v>
      </c>
      <c r="F195" t="inlineStr">
        <is>
          <t>VÄSTRA GÖTALANDS LÄN</t>
        </is>
      </c>
      <c r="G195" t="inlineStr">
        <is>
          <t>BOLLEBYGD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46278</v>
      </c>
      <c r="F196" t="inlineStr">
        <is>
          <t>VÄSTRA GÖTALANDS LÄN</t>
        </is>
      </c>
      <c r="G196" t="inlineStr">
        <is>
          <t>BOLLEBYGD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46278</v>
      </c>
      <c r="F197" t="inlineStr">
        <is>
          <t>VÄSTRA GÖTALANDS LÄN</t>
        </is>
      </c>
      <c r="G197" t="inlineStr">
        <is>
          <t>BOLLEBYGD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55159-2024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45621</v>
      </c>
      <c r="E198" s="1" t="n">
        <v>46278</v>
      </c>
      <c r="F198" t="inlineStr">
        <is>
          <t>VÄSTRA GÖTALANDS LÄN</t>
        </is>
      </c>
      <c r="G198" t="inlineStr">
        <is>
          <t>BOLLEBYGD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46278</v>
      </c>
      <c r="F199" t="inlineStr">
        <is>
          <t>VÄSTRA GÖTALANDS LÄN</t>
        </is>
      </c>
      <c r="G199" t="inlineStr">
        <is>
          <t>BOLLEBYGD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45308</v>
      </c>
      <c r="E200" s="1" t="n">
        <v>46278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61671-2022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46278</v>
      </c>
      <c r="F201" t="inlineStr">
        <is>
          <t>VÄSTRA GÖTALANDS LÄN</t>
        </is>
      </c>
      <c r="G201" t="inlineStr">
        <is>
          <t>BOLLEBYGD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44868</v>
      </c>
      <c r="E202" s="1" t="n">
        <v>46278</v>
      </c>
      <c r="F202" t="inlineStr">
        <is>
          <t>VÄSTRA GÖTALANDS LÄN</t>
        </is>
      </c>
      <c r="G202" t="inlineStr">
        <is>
          <t>BOLLEBYGD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46251</v>
      </c>
      <c r="E203" s="1" t="n">
        <v>46278</v>
      </c>
      <c r="F203" t="inlineStr">
        <is>
          <t>VÄSTRA GÖTALANDS LÄN</t>
        </is>
      </c>
      <c r="G203" t="inlineStr">
        <is>
          <t>BOLLEBYGD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46251</v>
      </c>
      <c r="E204" s="1" t="n">
        <v>46278</v>
      </c>
      <c r="F204" t="inlineStr">
        <is>
          <t>VÄSTRA GÖTALANDS LÄN</t>
        </is>
      </c>
      <c r="G204" t="inlineStr">
        <is>
          <t>BOLLEBYGD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46278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30098-2026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46278</v>
      </c>
      <c r="F206" t="inlineStr">
        <is>
          <t>VÄSTRA GÖTALANDS LÄN</t>
        </is>
      </c>
      <c r="G206" t="inlineStr">
        <is>
          <t>BOLLEBYGD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46278</v>
      </c>
      <c r="F207" t="inlineStr">
        <is>
          <t>VÄSTRA GÖTALANDS LÄN</t>
        </is>
      </c>
      <c r="G207" t="inlineStr">
        <is>
          <t>BOLLEBYGD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46278</v>
      </c>
      <c r="F208" t="inlineStr">
        <is>
          <t>VÄSTRA GÖTALANDS LÄN</t>
        </is>
      </c>
      <c r="G208" t="inlineStr">
        <is>
          <t>BOLLEBYGD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45112</v>
      </c>
      <c r="E209" s="1" t="n">
        <v>46278</v>
      </c>
      <c r="F209" t="inlineStr">
        <is>
          <t>VÄSTRA GÖTALANDS LÄN</t>
        </is>
      </c>
      <c r="G209" t="inlineStr">
        <is>
          <t>BOLLEBYGD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54311-2022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46278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56334-2024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45624</v>
      </c>
      <c r="E211" s="1" t="n">
        <v>46278</v>
      </c>
      <c r="F211" t="inlineStr">
        <is>
          <t>VÄSTRA GÖTALANDS LÄN</t>
        </is>
      </c>
      <c r="G211" t="inlineStr">
        <is>
          <t>BOLLEBYGD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44914</v>
      </c>
      <c r="E212" s="1" t="n">
        <v>46278</v>
      </c>
      <c r="F212" t="inlineStr">
        <is>
          <t>VÄSTRA GÖTALANDS LÄN</t>
        </is>
      </c>
      <c r="G212" t="inlineStr">
        <is>
          <t>BOLLEBYGD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63725-2023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45276</v>
      </c>
      <c r="E213" s="1" t="n">
        <v>46278</v>
      </c>
      <c r="F213" t="inlineStr">
        <is>
          <t>VÄSTRA GÖTALANDS LÄN</t>
        </is>
      </c>
      <c r="G213" t="inlineStr">
        <is>
          <t>BOLLEBYGD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44981</v>
      </c>
      <c r="E214" s="1" t="n">
        <v>46278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46278</v>
      </c>
      <c r="F215" t="inlineStr">
        <is>
          <t>VÄSTRA GÖTALANDS LÄN</t>
        </is>
      </c>
      <c r="G215" t="inlineStr">
        <is>
          <t>BOLLEBYGD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30762-2023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46278</v>
      </c>
      <c r="F216" t="inlineStr">
        <is>
          <t>VÄSTRA GÖTALANDS LÄN</t>
        </is>
      </c>
      <c r="G216" t="inlineStr">
        <is>
          <t>BOLLEBYGD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46259</v>
      </c>
      <c r="E217" s="1" t="n">
        <v>46278</v>
      </c>
      <c r="F217" t="inlineStr">
        <is>
          <t>VÄSTRA GÖTALANDS LÄN</t>
        </is>
      </c>
      <c r="G217" t="inlineStr">
        <is>
          <t>BOLLEBYGD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46259</v>
      </c>
      <c r="E218" s="1" t="n">
        <v>46278</v>
      </c>
      <c r="F218" t="inlineStr">
        <is>
          <t>VÄSTRA GÖTALANDS LÄN</t>
        </is>
      </c>
      <c r="G218" t="inlineStr">
        <is>
          <t>BOLLEBYGD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45162</v>
      </c>
      <c r="E219" s="1" t="n">
        <v>46278</v>
      </c>
      <c r="F219" t="inlineStr">
        <is>
          <t>VÄSTRA GÖTALANDS LÄN</t>
        </is>
      </c>
      <c r="G219" t="inlineStr">
        <is>
          <t>BOLLEBYGD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46278</v>
      </c>
      <c r="F220" t="inlineStr">
        <is>
          <t>VÄSTRA GÖTALANDS LÄN</t>
        </is>
      </c>
      <c r="G220" t="inlineStr">
        <is>
          <t>BOLLEBYGD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18305-2025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45762</v>
      </c>
      <c r="E221" s="1" t="n">
        <v>46278</v>
      </c>
      <c r="F221" t="inlineStr">
        <is>
          <t>VÄSTRA GÖTALANDS LÄN</t>
        </is>
      </c>
      <c r="G221" t="inlineStr">
        <is>
          <t>BOLLEBYGD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46272</v>
      </c>
      <c r="E222" s="1" t="n">
        <v>46278</v>
      </c>
      <c r="F222" t="inlineStr">
        <is>
          <t>VÄSTRA GÖTALANDS LÄN</t>
        </is>
      </c>
      <c r="G222" t="inlineStr">
        <is>
          <t>BOLLEBYGD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45310</v>
      </c>
      <c r="E223" s="1" t="n">
        <v>46278</v>
      </c>
      <c r="F223" t="inlineStr">
        <is>
          <t>VÄSTRA GÖTALANDS LÄN</t>
        </is>
      </c>
      <c r="G223" t="inlineStr">
        <is>
          <t>BOLLEBYGD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12124-2024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45377</v>
      </c>
      <c r="E224" s="1" t="n">
        <v>46278</v>
      </c>
      <c r="F224" t="inlineStr">
        <is>
          <t>VÄSTRA GÖTALANDS LÄN</t>
        </is>
      </c>
      <c r="G224" t="inlineStr">
        <is>
          <t>BOLLEBYGD</t>
        </is>
      </c>
      <c r="H224" t="inlineStr">
        <is>
          <t>Kommuner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31907-2026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46231</v>
      </c>
      <c r="E225" s="1" t="n">
        <v>46278</v>
      </c>
      <c r="F225" t="inlineStr">
        <is>
          <t>VÄSTRA GÖTALANDS LÄN</t>
        </is>
      </c>
      <c r="G225" t="inlineStr">
        <is>
          <t>BOLLEBYGD</t>
        </is>
      </c>
      <c r="H225" t="inlineStr">
        <is>
          <t>Kyrkan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38074-2023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46278</v>
      </c>
      <c r="F226" t="inlineStr">
        <is>
          <t>VÄSTRA GÖTALANDS LÄN</t>
        </is>
      </c>
      <c r="G226" t="inlineStr">
        <is>
          <t>BOLLEBYGD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50981-2023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45218</v>
      </c>
      <c r="E227" s="1" t="n">
        <v>46278</v>
      </c>
      <c r="F227" t="inlineStr">
        <is>
          <t>VÄSTRA GÖTALANDS LÄN</t>
        </is>
      </c>
      <c r="G227" t="inlineStr">
        <is>
          <t>BOLLEBYGD</t>
        </is>
      </c>
      <c r="H227" t="inlineStr">
        <is>
          <t>Sveaskog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58093-2023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45248</v>
      </c>
      <c r="E228" s="1" t="n">
        <v>46278</v>
      </c>
      <c r="F228" t="inlineStr">
        <is>
          <t>VÄSTRA GÖTALANDS LÄN</t>
        </is>
      </c>
      <c r="G228" t="inlineStr">
        <is>
          <t>BOLLEBYGD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44510</v>
      </c>
      <c r="E229" s="1" t="n">
        <v>46278</v>
      </c>
      <c r="F229" t="inlineStr">
        <is>
          <t>VÄSTRA GÖTALANDS LÄN</t>
        </is>
      </c>
      <c r="G229" t="inlineStr">
        <is>
          <t>BOLLEBYGD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17434-2026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46120</v>
      </c>
      <c r="E230" s="1" t="n">
        <v>46278</v>
      </c>
      <c r="F230" t="inlineStr">
        <is>
          <t>VÄSTRA GÖTALANDS LÄN</t>
        </is>
      </c>
      <c r="G230" t="inlineStr">
        <is>
          <t>BOLLEBYGD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27103-2024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45471</v>
      </c>
      <c r="E231" s="1" t="n">
        <v>46278</v>
      </c>
      <c r="F231" t="inlineStr">
        <is>
          <t>VÄSTRA GÖTALANDS LÄN</t>
        </is>
      </c>
      <c r="G231" t="inlineStr">
        <is>
          <t>BOLLEBYGD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57443-2024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46278</v>
      </c>
      <c r="F232" t="inlineStr">
        <is>
          <t>VÄSTRA GÖTALANDS LÄN</t>
        </is>
      </c>
      <c r="G232" t="inlineStr">
        <is>
          <t>BOLLEBYGD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45784</v>
      </c>
      <c r="E233" s="1" t="n">
        <v>46278</v>
      </c>
      <c r="F233" t="inlineStr">
        <is>
          <t>VÄSTRA GÖTALANDS LÄN</t>
        </is>
      </c>
      <c r="G233" t="inlineStr">
        <is>
          <t>BOLLEBYGD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46278</v>
      </c>
      <c r="F234" t="inlineStr">
        <is>
          <t>VÄSTRA GÖTALANDS LÄN</t>
        </is>
      </c>
      <c r="G234" t="inlineStr">
        <is>
          <t>BOLLEBYGD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43938-2024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46278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46278</v>
      </c>
      <c r="F236" t="inlineStr">
        <is>
          <t>VÄSTRA GÖTALANDS LÄN</t>
        </is>
      </c>
      <c r="G236" t="inlineStr">
        <is>
          <t>BOLLEBYGD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46278</v>
      </c>
      <c r="F237" t="inlineStr">
        <is>
          <t>VÄSTRA GÖTALANDS LÄN</t>
        </is>
      </c>
      <c r="G237" t="inlineStr">
        <is>
          <t>BOLLEBYGD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46278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46278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46278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2026-09-13T02:17:05Z</dcterms:created>
  <dcterms:modified xmlns:dcterms="http://purl.org/dc/terms/" xmlns:xsi="http://www.w3.org/2001/XMLSchema-instance" xsi:type="dcterms:W3CDTF">2026-09-13T02:17:05Z</dcterms:modified>
</cp:coreProperties>
</file>