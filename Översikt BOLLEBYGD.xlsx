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46241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45215</v>
      </c>
      <c r="E3" s="1" t="n">
        <v>46241</v>
      </c>
      <c r="F3" t="inlineStr">
        <is>
          <t>VÄSTRA GÖTALANDS LÄN</t>
        </is>
      </c>
      <c r="G3" t="inlineStr">
        <is>
          <t>BOLLEBYGD</t>
        </is>
      </c>
      <c r="I3" t="n">
        <v>7.5</v>
      </c>
      <c r="J3" t="n">
        <v>4</v>
      </c>
      <c r="K3" t="n">
        <v>0</v>
      </c>
      <c r="L3" t="n">
        <v>3</v>
      </c>
      <c r="M3" t="n">
        <v>1</v>
      </c>
      <c r="N3" t="n">
        <v>0</v>
      </c>
      <c r="O3" t="n">
        <v>0</v>
      </c>
      <c r="P3" t="n">
        <v>1</v>
      </c>
      <c r="Q3" t="n">
        <v>5</v>
      </c>
      <c r="R3" t="n">
        <v>1</v>
      </c>
      <c r="S3" t="n">
        <v>5</v>
      </c>
      <c r="T3" t="n">
        <v>5</v>
      </c>
      <c r="U3" t="n">
        <v>3</v>
      </c>
      <c r="V3" s="2" t="inlineStr">
        <is>
          <t>Svartbent strandpipare
Sexfläckig bastardsvärmare
Grönsångare
Strandskata
Sädesärla</t>
        </is>
      </c>
      <c r="W3">
        <f>HYPERLINK("https://klasma.github.io/Logging_1443/artfynd/A 50011-2023 artfynd.xlsx", "A 50011-2023")</f>
        <v/>
      </c>
      <c r="X3">
        <f>HYPERLINK("https://klasma.github.io/Logging_1443/kartor/A 50011-2023 karta.png", "A 50011-2023")</f>
        <v/>
      </c>
      <c r="Y3">
        <f>HYPERLINK("https://klasma.github.io/Logging_1443/kartor_geotiff/A 50011-2023 georefererad karta.tif", "A 50011-2023")</f>
        <v/>
      </c>
      <c r="AA3">
        <f>HYPERLINK("https://klasma.github.io/Logging_1443/klagomål/A 50011-2023 FSC-klagomål.docx", "A 50011-2023")</f>
        <v/>
      </c>
      <c r="AB3">
        <f>HYPERLINK("https://klasma.github.io/Logging_1443/klagomålsmail/A 50011-2023 FSC-klagomål mail.docx", "A 50011-2023")</f>
        <v/>
      </c>
      <c r="AC3">
        <f>HYPERLINK("https://klasma.github.io/Logging_1443/tillsyn/A 50011-2023 tillsynsbegäran.docx", "A 50011-2023")</f>
        <v/>
      </c>
      <c r="AD3">
        <f>HYPERLINK("https://klasma.github.io/Logging_1443/tillsynsmail/A 50011-2023 tillsynsbegäran mail.docx", "A 50011-2023")</f>
        <v/>
      </c>
      <c r="AE3">
        <f>HYPERLINK("https://klasma.github.io/Logging_1443/fåglar/A 50011-2023 prioriterade fågelarter.docx", "A 50011-2023")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46241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46241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46241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30785-2023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46241</v>
      </c>
      <c r="F7" t="inlineStr">
        <is>
          <t>VÄSTRA GÖTALANDS LÄN</t>
        </is>
      </c>
      <c r="G7" t="inlineStr">
        <is>
          <t>BOLLEBYGD</t>
        </is>
      </c>
      <c r="I7" t="n">
        <v>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6</v>
      </c>
      <c r="U7" t="n">
        <v>5</v>
      </c>
      <c r="V7" s="2" t="inlineStr">
        <is>
          <t>Lunglav
Grönvit nattviol
Revlummer</t>
        </is>
      </c>
      <c r="W7">
        <f>HYPERLINK("https://klasma.github.io/Logging_1443/artfynd/A 30785-2023 artfynd.xlsx", "A 30785-2023")</f>
        <v/>
      </c>
      <c r="X7">
        <f>HYPERLINK("https://klasma.github.io/Logging_1443/kartor/A 30785-2023 karta.png", "A 30785-2023")</f>
        <v/>
      </c>
      <c r="Y7">
        <f>HYPERLINK("https://klasma.github.io/Logging_1443/kartor_geotiff/A 30785-2023 georefererad karta.tif", "A 30785-2023")</f>
        <v/>
      </c>
      <c r="AA7">
        <f>HYPERLINK("https://klasma.github.io/Logging_1443/klagomål/A 30785-2023 FSC-klagomål.docx", "A 30785-2023")</f>
        <v/>
      </c>
      <c r="AB7">
        <f>HYPERLINK("https://klasma.github.io/Logging_1443/klagomålsmail/A 30785-2023 FSC-klagomål mail.docx", "A 30785-2023")</f>
        <v/>
      </c>
      <c r="AC7">
        <f>HYPERLINK("https://klasma.github.io/Logging_1443/tillsyn/A 30785-2023 tillsynsbegäran.docx", "A 30785-2023")</f>
        <v/>
      </c>
      <c r="AD7">
        <f>HYPERLINK("https://klasma.github.io/Logging_1443/tillsynsmail/A 30785-2023 tillsynsbegäran mail.docx", "A 30785-2023")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46241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46241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30655-2023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46241</v>
      </c>
      <c r="F10" t="inlineStr">
        <is>
          <t>VÄSTRA GÖTALANDS LÄN</t>
        </is>
      </c>
      <c r="G10" t="inlineStr">
        <is>
          <t>BOLLEBYGD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Klippfrullania
Trädporella
Fläcknycklar</t>
        </is>
      </c>
      <c r="W10">
        <f>HYPERLINK("https://klasma.github.io/Logging_1443/artfynd/A 30655-2023 artfynd.xlsx", "A 30655-2023")</f>
        <v/>
      </c>
      <c r="X10">
        <f>HYPERLINK("https://klasma.github.io/Logging_1443/kartor/A 30655-2023 karta.png", "A 30655-2023")</f>
        <v/>
      </c>
      <c r="Y10">
        <f>HYPERLINK("https://klasma.github.io/Logging_1443/kartor_geotiff/A 30655-2023 georefererad karta.tif", "A 30655-2023")</f>
        <v/>
      </c>
      <c r="AA10">
        <f>HYPERLINK("https://klasma.github.io/Logging_1443/klagomål/A 30655-2023 FSC-klagomål.docx", "A 30655-2023")</f>
        <v/>
      </c>
      <c r="AB10">
        <f>HYPERLINK("https://klasma.github.io/Logging_1443/klagomålsmail/A 30655-2023 FSC-klagomål mail.docx", "A 30655-2023")</f>
        <v/>
      </c>
      <c r="AC10">
        <f>HYPERLINK("https://klasma.github.io/Logging_1443/tillsyn/A 30655-2023 tillsynsbegäran.docx", "A 30655-2023")</f>
        <v/>
      </c>
      <c r="AD10">
        <f>HYPERLINK("https://klasma.github.io/Logging_1443/tillsynsmail/A 30655-2023 tillsynsbegäran mail.docx", "A 30655-2023")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46241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31714-2023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46241</v>
      </c>
      <c r="F12" t="inlineStr">
        <is>
          <t>VÄSTRA GÖTALANDS LÄN</t>
        </is>
      </c>
      <c r="G12" t="inlineStr">
        <is>
          <t>BOLLEBYGD</t>
        </is>
      </c>
      <c r="I12" t="n">
        <v>2.4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6</v>
      </c>
      <c r="U12" t="n">
        <v>6</v>
      </c>
      <c r="V12" s="2" t="inlineStr">
        <is>
          <t>Spillkråka
Grönsiska</t>
        </is>
      </c>
      <c r="W12">
        <f>HYPERLINK("https://klasma.github.io/Logging_1443/artfynd/A 31714-2023 artfynd.xlsx", "A 31714-2023")</f>
        <v/>
      </c>
      <c r="X12">
        <f>HYPERLINK("https://klasma.github.io/Logging_1443/kartor/A 31714-2023 karta.png", "A 31714-2023")</f>
        <v/>
      </c>
      <c r="Y12">
        <f>HYPERLINK("https://klasma.github.io/Logging_1443/kartor_geotiff/A 31714-2023 georefererad karta.tif", "A 31714-2023")</f>
        <v/>
      </c>
      <c r="AA12">
        <f>HYPERLINK("https://klasma.github.io/Logging_1443/klagomål/A 31714-2023 FSC-klagomål.docx", "A 31714-2023")</f>
        <v/>
      </c>
      <c r="AB12">
        <f>HYPERLINK("https://klasma.github.io/Logging_1443/klagomålsmail/A 31714-2023 FSC-klagomål mail.docx", "A 31714-2023")</f>
        <v/>
      </c>
      <c r="AC12">
        <f>HYPERLINK("https://klasma.github.io/Logging_1443/tillsyn/A 31714-2023 tillsynsbegäran.docx", "A 31714-2023")</f>
        <v/>
      </c>
      <c r="AD12">
        <f>HYPERLINK("https://klasma.github.io/Logging_1443/tillsynsmail/A 31714-2023 tillsynsbegäran mail.docx", "A 31714-2023")</f>
        <v/>
      </c>
      <c r="AE12">
        <f>HYPERLINK("https://klasma.github.io/Logging_1443/fåglar/A 31714-2023 prioriterade fågelarter.docx", "A 31714-2023")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46241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30666-2023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45112</v>
      </c>
      <c r="E14" s="1" t="n">
        <v>46241</v>
      </c>
      <c r="F14" t="inlineStr">
        <is>
          <t>VÄSTRA GÖTALANDS LÄN</t>
        </is>
      </c>
      <c r="G14" t="inlineStr">
        <is>
          <t>BOLLEBYGD</t>
        </is>
      </c>
      <c r="I14" t="n">
        <v>1.1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Talltita
Tjäder</t>
        </is>
      </c>
      <c r="W14">
        <f>HYPERLINK("https://klasma.github.io/Logging_1443/artfynd/A 30666-2023 artfynd.xlsx", "A 30666-2023")</f>
        <v/>
      </c>
      <c r="X14">
        <f>HYPERLINK("https://klasma.github.io/Logging_1443/kartor/A 30666-2023 karta.png", "A 30666-2023")</f>
        <v/>
      </c>
      <c r="Y14">
        <f>HYPERLINK("https://klasma.github.io/Logging_1443/kartor_geotiff/A 30666-2023 georefererad karta.tif", "A 30666-2023")</f>
        <v/>
      </c>
      <c r="AA14">
        <f>HYPERLINK("https://klasma.github.io/Logging_1443/klagomål/A 30666-2023 FSC-klagomål.docx", "A 30666-2023")</f>
        <v/>
      </c>
      <c r="AB14">
        <f>HYPERLINK("https://klasma.github.io/Logging_1443/klagomålsmail/A 30666-2023 FSC-klagomål mail.docx", "A 30666-2023")</f>
        <v/>
      </c>
      <c r="AC14">
        <f>HYPERLINK("https://klasma.github.io/Logging_1443/tillsyn/A 30666-2023 tillsynsbegäran.docx", "A 30666-2023")</f>
        <v/>
      </c>
      <c r="AD14">
        <f>HYPERLINK("https://klasma.github.io/Logging_1443/tillsynsmail/A 30666-2023 tillsynsbegäran mail.docx", "A 30666-2023")</f>
        <v/>
      </c>
      <c r="AE14">
        <f>HYPERLINK("https://klasma.github.io/Logging_1443/fåglar/A 30666-2023 prioriterade fågelarter.docx", "A 30666-2023")</f>
        <v/>
      </c>
    </row>
    <row r="15" ht="15" customHeight="1">
      <c r="A15" t="inlineStr">
        <is>
          <t>A 30792-2023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46241</v>
      </c>
      <c r="F15" t="inlineStr">
        <is>
          <t>VÄSTRA GÖTALANDS LÄN</t>
        </is>
      </c>
      <c r="G15" t="inlineStr">
        <is>
          <t>BOLLEBYGD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Kungsfågel
Ärtsångare</t>
        </is>
      </c>
      <c r="W15">
        <f>HYPERLINK("https://klasma.github.io/Logging_1443/artfynd/A 30792-2023 artfynd.xlsx", "A 30792-2023")</f>
        <v/>
      </c>
      <c r="X15">
        <f>HYPERLINK("https://klasma.github.io/Logging_1443/kartor/A 30792-2023 karta.png", "A 30792-2023")</f>
        <v/>
      </c>
      <c r="Y15">
        <f>HYPERLINK("https://klasma.github.io/Logging_1443/kartor_geotiff/A 30792-2023 georefererad karta.tif", "A 30792-2023")</f>
        <v/>
      </c>
      <c r="AA15">
        <f>HYPERLINK("https://klasma.github.io/Logging_1443/klagomål/A 30792-2023 FSC-klagomål.docx", "A 30792-2023")</f>
        <v/>
      </c>
      <c r="AB15">
        <f>HYPERLINK("https://klasma.github.io/Logging_1443/klagomålsmail/A 30792-2023 FSC-klagomål mail.docx", "A 30792-2023")</f>
        <v/>
      </c>
      <c r="AC15">
        <f>HYPERLINK("https://klasma.github.io/Logging_1443/tillsyn/A 30792-2023 tillsynsbegäran.docx", "A 30792-2023")</f>
        <v/>
      </c>
      <c r="AD15">
        <f>HYPERLINK("https://klasma.github.io/Logging_1443/tillsynsmail/A 30792-2023 tillsynsbegäran mail.docx", "A 30792-2023")</f>
        <v/>
      </c>
    </row>
    <row r="16" ht="15" customHeight="1">
      <c r="A16" t="inlineStr">
        <is>
          <t>A 13115-2026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46093</v>
      </c>
      <c r="E16" s="1" t="n">
        <v>46241</v>
      </c>
      <c r="F16" t="inlineStr">
        <is>
          <t>VÄSTRA GÖTALANDS LÄN</t>
        </is>
      </c>
      <c r="G16" t="inlineStr">
        <is>
          <t>BOLLEBYGD</t>
        </is>
      </c>
      <c r="I16" t="n">
        <v>6.5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Mattlummer
Fläcknycklar</t>
        </is>
      </c>
      <c r="W16">
        <f>HYPERLINK("https://klasma.github.io/Logging_1443/artfynd/A 13115-2026 artfynd.xlsx", "A 13115-2026")</f>
        <v/>
      </c>
      <c r="X16">
        <f>HYPERLINK("https://klasma.github.io/Logging_1443/kartor/A 13115-2026 karta.png", "A 13115-2026")</f>
        <v/>
      </c>
      <c r="Y16">
        <f>HYPERLINK("https://klasma.github.io/Logging_1443/kartor_geotiff/A 13115-2026 georefererad karta.tif", "A 13115-2026")</f>
        <v/>
      </c>
      <c r="AA16">
        <f>HYPERLINK("https://klasma.github.io/Logging_1443/klagomål/A 13115-2026 FSC-klagomål.docx", "A 13115-2026")</f>
        <v/>
      </c>
      <c r="AB16">
        <f>HYPERLINK("https://klasma.github.io/Logging_1443/klagomålsmail/A 13115-2026 FSC-klagomål mail.docx", "A 13115-2026")</f>
        <v/>
      </c>
      <c r="AC16">
        <f>HYPERLINK("https://klasma.github.io/Logging_1443/tillsyn/A 13115-2026 tillsynsbegäran.docx", "A 13115-2026")</f>
        <v/>
      </c>
      <c r="AD16">
        <f>HYPERLINK("https://klasma.github.io/Logging_1443/tillsynsmail/A 13115-2026 tillsynsbegäran mail.docx", "A 13115-2026")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46241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46241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35526-2023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45147</v>
      </c>
      <c r="E19" s="1" t="n">
        <v>46241</v>
      </c>
      <c r="F19" t="inlineStr">
        <is>
          <t>VÄSTRA GÖTALANDS LÄN</t>
        </is>
      </c>
      <c r="G19" t="inlineStr">
        <is>
          <t>BOLLEBYGD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padda</t>
        </is>
      </c>
      <c r="W19">
        <f>HYPERLINK("https://klasma.github.io/Logging_1443/artfynd/A 35526-2023 artfynd.xlsx", "A 35526-2023")</f>
        <v/>
      </c>
      <c r="X19">
        <f>HYPERLINK("https://klasma.github.io/Logging_1443/kartor/A 35526-2023 karta.png", "A 35526-2023")</f>
        <v/>
      </c>
      <c r="Y19">
        <f>HYPERLINK("https://klasma.github.io/Logging_1443/kartor_geotiff/A 35526-2023 georefererad karta.tif", "A 35526-2023")</f>
        <v/>
      </c>
      <c r="AA19">
        <f>HYPERLINK("https://klasma.github.io/Logging_1443/klagomål/A 35526-2023 FSC-klagomål.docx", "A 35526-2023")</f>
        <v/>
      </c>
      <c r="AB19">
        <f>HYPERLINK("https://klasma.github.io/Logging_1443/klagomålsmail/A 35526-2023 FSC-klagomål mail.docx", "A 35526-2023")</f>
        <v/>
      </c>
      <c r="AC19">
        <f>HYPERLINK("https://klasma.github.io/Logging_1443/tillsyn/A 35526-2023 tillsynsbegäran.docx", "A 35526-2023")</f>
        <v/>
      </c>
      <c r="AD19">
        <f>HYPERLINK("https://klasma.github.io/Logging_1443/tillsynsmail/A 35526-2023 tillsynsbegäran mail.docx", "A 35526-2023")</f>
        <v/>
      </c>
    </row>
    <row r="20" ht="15" customHeight="1">
      <c r="A20" t="inlineStr">
        <is>
          <t>A 30745-2023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46241</v>
      </c>
      <c r="F20" t="inlineStr">
        <is>
          <t>VÄSTRA GÖTALANDS LÄN</t>
        </is>
      </c>
      <c r="G20" t="inlineStr">
        <is>
          <t>BOLLEBYGD</t>
        </is>
      </c>
      <c r="I20" t="n">
        <v>3.9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30745-2023 artfynd.xlsx", "A 30745-2023")</f>
        <v/>
      </c>
      <c r="X20">
        <f>HYPERLINK("https://klasma.github.io/Logging_1443/kartor/A 30745-2023 karta.png", "A 30745-2023")</f>
        <v/>
      </c>
      <c r="Y20">
        <f>HYPERLINK("https://klasma.github.io/Logging_1443/kartor_geotiff/A 30745-2023 georefererad karta.tif", "A 30745-2023")</f>
        <v/>
      </c>
      <c r="AA20">
        <f>HYPERLINK("https://klasma.github.io/Logging_1443/klagomål/A 30745-2023 FSC-klagomål.docx", "A 30745-2023")</f>
        <v/>
      </c>
      <c r="AB20">
        <f>HYPERLINK("https://klasma.github.io/Logging_1443/klagomålsmail/A 30745-2023 FSC-klagomål mail.docx", "A 30745-2023")</f>
        <v/>
      </c>
      <c r="AC20">
        <f>HYPERLINK("https://klasma.github.io/Logging_1443/tillsyn/A 30745-2023 tillsynsbegäran.docx", "A 30745-2023")</f>
        <v/>
      </c>
      <c r="AD20">
        <f>HYPERLINK("https://klasma.github.io/Logging_1443/tillsynsmail/A 30745-2023 tillsynsbegäran mail.docx", "A 30745-2023")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46241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46241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HYPERLINK("https://klasma.github.io/Logging_1443/artfynd/A 30653-2023 artfynd.xlsx", "A 30653-2023")</f>
        <v/>
      </c>
      <c r="X22">
        <f>HYPERLINK("https://klasma.github.io/Logging_1443/kartor/A 30653-2023 karta.png", "A 30653-2023")</f>
        <v/>
      </c>
      <c r="Y22">
        <f>HYPERLINK("https://klasma.github.io/Logging_1443/kartor_geotiff/A 30653-2023 georefererad karta.tif", "A 30653-2023")</f>
        <v/>
      </c>
      <c r="AA22">
        <f>HYPERLINK("https://klasma.github.io/Logging_1443/klagomål/A 30653-2023 FSC-klagomål.docx", "A 30653-2023")</f>
        <v/>
      </c>
      <c r="AB22">
        <f>HYPERLINK("https://klasma.github.io/Logging_1443/klagomålsmail/A 30653-2023 FSC-klagomål mail.docx", "A 30653-2023")</f>
        <v/>
      </c>
      <c r="AC22">
        <f>HYPERLINK("https://klasma.github.io/Logging_1443/tillsyn/A 30653-2023 tillsynsbegäran.docx", "A 30653-2023")</f>
        <v/>
      </c>
      <c r="AD22">
        <f>HYPERLINK("https://klasma.github.io/Logging_1443/tillsynsmail/A 30653-2023 tillsynsbegäran mail.docx", "A 30653-2023")</f>
        <v/>
      </c>
      <c r="AE22">
        <f>HYPERLINK("https://klasma.github.io/Logging_1443/fåglar/A 30653-2023 prioriterade fågelarter.docx", "A 30653-2023")</f>
        <v/>
      </c>
    </row>
    <row r="23" ht="15" customHeight="1">
      <c r="A23" t="inlineStr">
        <is>
          <t>A 30662-2023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46241</v>
      </c>
      <c r="F23" t="inlineStr">
        <is>
          <t>VÄSTRA GÖTALANDS LÄN</t>
        </is>
      </c>
      <c r="G23" t="inlineStr">
        <is>
          <t>BOLLEBYGD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Svartvit flugsnappare</t>
        </is>
      </c>
      <c r="W23">
        <f>HYPERLINK("https://klasma.github.io/Logging_1443/artfynd/A 30662-2023 artfynd.xlsx", "A 30662-2023")</f>
        <v/>
      </c>
      <c r="X23">
        <f>HYPERLINK("https://klasma.github.io/Logging_1443/kartor/A 30662-2023 karta.png", "A 30662-2023")</f>
        <v/>
      </c>
      <c r="Y23">
        <f>HYPERLINK("https://klasma.github.io/Logging_1443/kartor_geotiff/A 30662-2023 georefererad karta.tif", "A 30662-2023")</f>
        <v/>
      </c>
      <c r="AA23">
        <f>HYPERLINK("https://klasma.github.io/Logging_1443/klagomål/A 30662-2023 FSC-klagomål.docx", "A 30662-2023")</f>
        <v/>
      </c>
      <c r="AB23">
        <f>HYPERLINK("https://klasma.github.io/Logging_1443/klagomålsmail/A 30662-2023 FSC-klagomål mail.docx", "A 30662-2023")</f>
        <v/>
      </c>
      <c r="AC23">
        <f>HYPERLINK("https://klasma.github.io/Logging_1443/tillsyn/A 30662-2023 tillsynsbegäran.docx", "A 30662-2023")</f>
        <v/>
      </c>
      <c r="AD23">
        <f>HYPERLINK("https://klasma.github.io/Logging_1443/tillsynsmail/A 30662-2023 tillsynsbegäran mail.docx", "A 30662-2023")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46241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46241</v>
      </c>
      <c r="F25" t="inlineStr">
        <is>
          <t>VÄSTRA GÖTALANDS LÄN</t>
        </is>
      </c>
      <c r="G25" t="inlineStr">
        <is>
          <t>BOLLEBYGD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30754-2023 artfynd.xlsx", "A 30754-2023")</f>
        <v/>
      </c>
      <c r="X25">
        <f>HYPERLINK("https://klasma.github.io/Logging_1443/kartor/A 30754-2023 karta.png", "A 30754-2023")</f>
        <v/>
      </c>
      <c r="Y25">
        <f>HYPERLINK("https://klasma.github.io/Logging_1443/kartor_geotiff/A 30754-2023 georefererad karta.tif", "A 30754-2023")</f>
        <v/>
      </c>
      <c r="AA25">
        <f>HYPERLINK("https://klasma.github.io/Logging_1443/klagomål/A 30754-2023 FSC-klagomål.docx", "A 30754-2023")</f>
        <v/>
      </c>
      <c r="AB25">
        <f>HYPERLINK("https://klasma.github.io/Logging_1443/klagomålsmail/A 30754-2023 FSC-klagomål mail.docx", "A 30754-2023")</f>
        <v/>
      </c>
      <c r="AC25">
        <f>HYPERLINK("https://klasma.github.io/Logging_1443/tillsyn/A 30754-2023 tillsynsbegäran.docx", "A 30754-2023")</f>
        <v/>
      </c>
      <c r="AD25">
        <f>HYPERLINK("https://klasma.github.io/Logging_1443/tillsynsmail/A 30754-2023 tillsynsbegäran mail.docx", "A 30754-2023")</f>
        <v/>
      </c>
    </row>
    <row r="26" ht="15" customHeight="1">
      <c r="A26" t="inlineStr">
        <is>
          <t>A 31742-2023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46241</v>
      </c>
      <c r="F26" t="inlineStr">
        <is>
          <t>VÄSTRA GÖTALANDS LÄN</t>
        </is>
      </c>
      <c r="G26" t="inlineStr">
        <is>
          <t>BOLLEBYGD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Spillkråka</t>
        </is>
      </c>
      <c r="W26">
        <f>HYPERLINK("https://klasma.github.io/Logging_1443/artfynd/A 31742-2023 artfynd.xlsx", "A 31742-2023")</f>
        <v/>
      </c>
      <c r="X26">
        <f>HYPERLINK("https://klasma.github.io/Logging_1443/kartor/A 31742-2023 karta.png", "A 31742-2023")</f>
        <v/>
      </c>
      <c r="Y26">
        <f>HYPERLINK("https://klasma.github.io/Logging_1443/kartor_geotiff/A 31742-2023 georefererad karta.tif", "A 31742-2023")</f>
        <v/>
      </c>
      <c r="AA26">
        <f>HYPERLINK("https://klasma.github.io/Logging_1443/klagomål/A 31742-2023 FSC-klagomål.docx", "A 31742-2023")</f>
        <v/>
      </c>
      <c r="AB26">
        <f>HYPERLINK("https://klasma.github.io/Logging_1443/klagomålsmail/A 31742-2023 FSC-klagomål mail.docx", "A 31742-2023")</f>
        <v/>
      </c>
      <c r="AC26">
        <f>HYPERLINK("https://klasma.github.io/Logging_1443/tillsyn/A 31742-2023 tillsynsbegäran.docx", "A 31742-2023")</f>
        <v/>
      </c>
      <c r="AD26">
        <f>HYPERLINK("https://klasma.github.io/Logging_1443/tillsynsmail/A 31742-2023 tillsynsbegäran mail.docx", "A 31742-2023")</f>
        <v/>
      </c>
      <c r="AE26">
        <f>HYPERLINK("https://klasma.github.io/Logging_1443/fåglar/A 31742-2023 prioriterade fågelarter.docx", "A 31742-2023")</f>
        <v/>
      </c>
    </row>
    <row r="27" ht="15" customHeight="1">
      <c r="A27" t="inlineStr">
        <is>
          <t>A 35491-2023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45146</v>
      </c>
      <c r="E27" s="1" t="n">
        <v>46241</v>
      </c>
      <c r="F27" t="inlineStr">
        <is>
          <t>VÄSTRA GÖTALANDS LÄN</t>
        </is>
      </c>
      <c r="G27" t="inlineStr">
        <is>
          <t>BOLLEBYGD</t>
        </is>
      </c>
      <c r="I27" t="n">
        <v>3.5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HYPERLINK("https://klasma.github.io/Logging_1443/artfynd/A 35491-2023 artfynd.xlsx", "A 35491-2023")</f>
        <v/>
      </c>
      <c r="X27">
        <f>HYPERLINK("https://klasma.github.io/Logging_1443/kartor/A 35491-2023 karta.png", "A 35491-2023")</f>
        <v/>
      </c>
      <c r="Y27">
        <f>HYPERLINK("https://klasma.github.io/Logging_1443/kartor_geotiff/A 35491-2023 georefererad karta.tif", "A 35491-2023")</f>
        <v/>
      </c>
      <c r="Z27">
        <f>HYPERLINK("https://klasma.github.io/Logging_1443/knärot/A 35491-2023 karta knärot.png", "A 35491-2023")</f>
        <v/>
      </c>
      <c r="AA27">
        <f>HYPERLINK("https://klasma.github.io/Logging_1443/klagomål/A 35491-2023 FSC-klagomål.docx", "A 35491-2023")</f>
        <v/>
      </c>
      <c r="AB27">
        <f>HYPERLINK("https://klasma.github.io/Logging_1443/klagomålsmail/A 35491-2023 FSC-klagomål mail.docx", "A 35491-2023")</f>
        <v/>
      </c>
      <c r="AC27">
        <f>HYPERLINK("https://klasma.github.io/Logging_1443/tillsyn/A 35491-2023 tillsynsbegäran.docx", "A 35491-2023")</f>
        <v/>
      </c>
      <c r="AD27">
        <f>HYPERLINK("https://klasma.github.io/Logging_1443/tillsynsmail/A 35491-2023 tillsynsbegäran mail.docx", "A 35491-2023")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46241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46241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46241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46241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46241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46241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46241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46241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46241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46241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46241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46241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46241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46241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46241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46241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46241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46241</v>
      </c>
      <c r="F45" t="inlineStr">
        <is>
          <t>VÄSTRA GÖTALANDS LÄN</t>
        </is>
      </c>
      <c r="G45" t="inlineStr">
        <is>
          <t>BOLLEBYGD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44754</v>
      </c>
      <c r="E46" s="1" t="n">
        <v>46241</v>
      </c>
      <c r="F46" t="inlineStr">
        <is>
          <t>VÄSTRA GÖTALANDS LÄN</t>
        </is>
      </c>
      <c r="G46" t="inlineStr">
        <is>
          <t>BOLLEBYGD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44914</v>
      </c>
      <c r="E47" s="1" t="n">
        <v>46241</v>
      </c>
      <c r="F47" t="inlineStr">
        <is>
          <t>VÄSTRA GÖTALANDS LÄN</t>
        </is>
      </c>
      <c r="G47" t="inlineStr">
        <is>
          <t>BOLLEBYGD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46241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46241</v>
      </c>
      <c r="F49" t="inlineStr">
        <is>
          <t>VÄSTRA GÖTALANDS LÄN</t>
        </is>
      </c>
      <c r="G49" t="inlineStr">
        <is>
          <t>BOLLEBYGD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46241</v>
      </c>
      <c r="F50" t="inlineStr">
        <is>
          <t>VÄSTRA GÖTALANDS LÄN</t>
        </is>
      </c>
      <c r="G50" t="inlineStr">
        <is>
          <t>BOLLEBYGD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46241</v>
      </c>
      <c r="F51" t="inlineStr">
        <is>
          <t>VÄSTRA GÖTALANDS LÄN</t>
        </is>
      </c>
      <c r="G51" t="inlineStr">
        <is>
          <t>BOLLEBYGD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30794-2023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46241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46241</v>
      </c>
      <c r="F53" t="inlineStr">
        <is>
          <t>VÄSTRA GÖTALANDS LÄN</t>
        </is>
      </c>
      <c r="G53" t="inlineStr">
        <is>
          <t>BOLLEBYGD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45328</v>
      </c>
      <c r="E54" s="1" t="n">
        <v>46241</v>
      </c>
      <c r="F54" t="inlineStr">
        <is>
          <t>VÄSTRA GÖTALANDS LÄN</t>
        </is>
      </c>
      <c r="G54" t="inlineStr">
        <is>
          <t>BOLLEBYGD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46241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46241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44946</v>
      </c>
      <c r="E57" s="1" t="n">
        <v>46241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11605-2024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46241</v>
      </c>
      <c r="F58" t="inlineStr">
        <is>
          <t>VÄSTRA GÖTALANDS LÄN</t>
        </is>
      </c>
      <c r="G58" t="inlineStr">
        <is>
          <t>BOLLEBYGD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70708-2021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44537</v>
      </c>
      <c r="E59" s="1" t="n">
        <v>46241</v>
      </c>
      <c r="F59" t="inlineStr">
        <is>
          <t>VÄSTRA GÖTALANDS LÄN</t>
        </is>
      </c>
      <c r="G59" t="inlineStr">
        <is>
          <t>BOLLEBYGD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45303</v>
      </c>
      <c r="E60" s="1" t="n">
        <v>46241</v>
      </c>
      <c r="F60" t="inlineStr">
        <is>
          <t>VÄSTRA GÖTALANDS LÄN</t>
        </is>
      </c>
      <c r="G60" t="inlineStr">
        <is>
          <t>BOLLEBYGD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45112</v>
      </c>
      <c r="E61" s="1" t="n">
        <v>46241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23330-2024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45453</v>
      </c>
      <c r="E62" s="1" t="n">
        <v>46241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46241</v>
      </c>
      <c r="F63" t="inlineStr">
        <is>
          <t>VÄSTRA GÖTALANDS LÄN</t>
        </is>
      </c>
      <c r="G63" t="inlineStr">
        <is>
          <t>BOLLEBYGD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46241</v>
      </c>
      <c r="F64" t="inlineStr">
        <is>
          <t>VÄSTRA GÖTALANDS LÄN</t>
        </is>
      </c>
      <c r="G64" t="inlineStr">
        <is>
          <t>BOLLEBYGD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46241</v>
      </c>
      <c r="F65" t="inlineStr">
        <is>
          <t>VÄSTRA GÖTALANDS LÄN</t>
        </is>
      </c>
      <c r="G65" t="inlineStr">
        <is>
          <t>BOLLEBYGD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11021-2022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46241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45118</v>
      </c>
      <c r="E67" s="1" t="n">
        <v>46241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44658</v>
      </c>
      <c r="E68" s="1" t="n">
        <v>46241</v>
      </c>
      <c r="F68" t="inlineStr">
        <is>
          <t>VÄSTRA GÖTALANDS LÄN</t>
        </is>
      </c>
      <c r="G68" t="inlineStr">
        <is>
          <t>BOLLEBYGD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44946</v>
      </c>
      <c r="E69" s="1" t="n">
        <v>46241</v>
      </c>
      <c r="F69" t="inlineStr">
        <is>
          <t>VÄSTRA GÖTALANDS LÄN</t>
        </is>
      </c>
      <c r="G69" t="inlineStr">
        <is>
          <t>BOLLEBYGD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46241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46241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45611</v>
      </c>
      <c r="E72" s="1" t="n">
        <v>46241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22443-2023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45070</v>
      </c>
      <c r="E73" s="1" t="n">
        <v>46241</v>
      </c>
      <c r="F73" t="inlineStr">
        <is>
          <t>VÄSTRA GÖTALANDS LÄN</t>
        </is>
      </c>
      <c r="G73" t="inlineStr">
        <is>
          <t>BOLLEBYGD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54295-2023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45232</v>
      </c>
      <c r="E74" s="1" t="n">
        <v>46241</v>
      </c>
      <c r="F74" t="inlineStr">
        <is>
          <t>VÄSTRA GÖTALANDS LÄN</t>
        </is>
      </c>
      <c r="G74" t="inlineStr">
        <is>
          <t>BOLLEBYGD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45664</v>
      </c>
      <c r="E75" s="1" t="n">
        <v>46241</v>
      </c>
      <c r="F75" t="inlineStr">
        <is>
          <t>VÄSTRA GÖTALANDS LÄN</t>
        </is>
      </c>
      <c r="G75" t="inlineStr">
        <is>
          <t>BOLLEBYGD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45476</v>
      </c>
      <c r="E76" s="1" t="n">
        <v>46241</v>
      </c>
      <c r="F76" t="inlineStr">
        <is>
          <t>VÄSTRA GÖTALANDS LÄN</t>
        </is>
      </c>
      <c r="G76" t="inlineStr">
        <is>
          <t>BOLLEBYGD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45872</v>
      </c>
      <c r="E77" s="1" t="n">
        <v>46241</v>
      </c>
      <c r="F77" t="inlineStr">
        <is>
          <t>VÄSTRA GÖTALANDS LÄN</t>
        </is>
      </c>
      <c r="G77" t="inlineStr">
        <is>
          <t>BOLLEBYGD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30801-2023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46241</v>
      </c>
      <c r="F78" t="inlineStr">
        <is>
          <t>VÄSTRA GÖTALANDS LÄN</t>
        </is>
      </c>
      <c r="G78" t="inlineStr">
        <is>
          <t>BOLLEBYGD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56331-2024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45624</v>
      </c>
      <c r="E79" s="1" t="n">
        <v>46241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47522-2024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45587</v>
      </c>
      <c r="E80" s="1" t="n">
        <v>46241</v>
      </c>
      <c r="F80" t="inlineStr">
        <is>
          <t>VÄSTRA GÖTALANDS LÄN</t>
        </is>
      </c>
      <c r="G80" t="inlineStr">
        <is>
          <t>BOLLEBYGD</t>
        </is>
      </c>
      <c r="H80" t="inlineStr">
        <is>
          <t>Sveaskog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45288</v>
      </c>
      <c r="E81" s="1" t="n">
        <v>46241</v>
      </c>
      <c r="F81" t="inlineStr">
        <is>
          <t>VÄSTRA GÖTALANDS LÄN</t>
        </is>
      </c>
      <c r="G81" t="inlineStr">
        <is>
          <t>BOLLEBYGD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31546-2022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44775</v>
      </c>
      <c r="E82" s="1" t="n">
        <v>46241</v>
      </c>
      <c r="F82" t="inlineStr">
        <is>
          <t>VÄSTRA GÖTALANDS LÄN</t>
        </is>
      </c>
      <c r="G82" t="inlineStr">
        <is>
          <t>BOLLEBYGD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46241</v>
      </c>
      <c r="F83" t="inlineStr">
        <is>
          <t>VÄSTRA GÖTALANDS LÄN</t>
        </is>
      </c>
      <c r="G83" t="inlineStr">
        <is>
          <t>BOLLEBYGD</t>
        </is>
      </c>
      <c r="I83" t="n">
        <v>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25928-2023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45090</v>
      </c>
      <c r="E84" s="1" t="n">
        <v>46241</v>
      </c>
      <c r="F84" t="inlineStr">
        <is>
          <t>VÄSTRA GÖTALANDS LÄN</t>
        </is>
      </c>
      <c r="G84" t="inlineStr">
        <is>
          <t>BOLLEBYGD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46241</v>
      </c>
      <c r="F85" t="inlineStr">
        <is>
          <t>VÄSTRA GÖTALANDS LÄN</t>
        </is>
      </c>
      <c r="G85" t="inlineStr">
        <is>
          <t>BOLLEBYGD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51564-2024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45604</v>
      </c>
      <c r="E86" s="1" t="n">
        <v>46241</v>
      </c>
      <c r="F86" t="inlineStr">
        <is>
          <t>VÄSTRA GÖTALANDS LÄN</t>
        </is>
      </c>
      <c r="G86" t="inlineStr">
        <is>
          <t>BOLLEBYGD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19644-2026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46134</v>
      </c>
      <c r="E87" s="1" t="n">
        <v>46241</v>
      </c>
      <c r="F87" t="inlineStr">
        <is>
          <t>VÄSTRA GÖTALANDS LÄN</t>
        </is>
      </c>
      <c r="G87" t="inlineStr">
        <is>
          <t>BOLLEBYGD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45117</v>
      </c>
      <c r="E88" s="1" t="n">
        <v>46241</v>
      </c>
      <c r="F88" t="inlineStr">
        <is>
          <t>VÄSTRA GÖTALANDS LÄN</t>
        </is>
      </c>
      <c r="G88" t="inlineStr">
        <is>
          <t>BOLLEBYGD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46241</v>
      </c>
      <c r="F89" t="inlineStr">
        <is>
          <t>VÄSTRA GÖTALANDS LÄN</t>
        </is>
      </c>
      <c r="G89" t="inlineStr">
        <is>
          <t>BOLLEBYGD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45117</v>
      </c>
      <c r="E90" s="1" t="n">
        <v>46241</v>
      </c>
      <c r="F90" t="inlineStr">
        <is>
          <t>VÄSTRA GÖTALANDS LÄN</t>
        </is>
      </c>
      <c r="G90" t="inlineStr">
        <is>
          <t>BOLLEBYGD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46241</v>
      </c>
      <c r="F91" t="inlineStr">
        <is>
          <t>VÄSTRA GÖTALANDS LÄN</t>
        </is>
      </c>
      <c r="G91" t="inlineStr">
        <is>
          <t>BOLLEBYGD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46241</v>
      </c>
      <c r="F92" t="inlineStr">
        <is>
          <t>VÄSTRA GÖTALANDS LÄN</t>
        </is>
      </c>
      <c r="G92" t="inlineStr">
        <is>
          <t>BOLLEBYGD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51314-2023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45219</v>
      </c>
      <c r="E93" s="1" t="n">
        <v>46241</v>
      </c>
      <c r="F93" t="inlineStr">
        <is>
          <t>VÄSTRA GÖTALANDS LÄN</t>
        </is>
      </c>
      <c r="G93" t="inlineStr">
        <is>
          <t>BOLLEBYGD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45696</v>
      </c>
      <c r="E94" s="1" t="n">
        <v>46241</v>
      </c>
      <c r="F94" t="inlineStr">
        <is>
          <t>VÄSTRA GÖTALANDS LÄN</t>
        </is>
      </c>
      <c r="G94" t="inlineStr">
        <is>
          <t>BOLLEBYGD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44459</v>
      </c>
      <c r="E95" s="1" t="n">
        <v>46241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47980-2023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46241</v>
      </c>
      <c r="F96" t="inlineStr">
        <is>
          <t>VÄSTRA GÖTALANDS LÄN</t>
        </is>
      </c>
      <c r="G96" t="inlineStr">
        <is>
          <t>BOLLEBYGD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45709</v>
      </c>
      <c r="E97" s="1" t="n">
        <v>46241</v>
      </c>
      <c r="F97" t="inlineStr">
        <is>
          <t>VÄSTRA GÖTALANDS LÄN</t>
        </is>
      </c>
      <c r="G97" t="inlineStr">
        <is>
          <t>BOLLEBYGD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46241</v>
      </c>
      <c r="F98" t="inlineStr">
        <is>
          <t>VÄSTRA GÖTALANDS LÄN</t>
        </is>
      </c>
      <c r="G98" t="inlineStr">
        <is>
          <t>BOLLEBYGD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44426</v>
      </c>
      <c r="E99" s="1" t="n">
        <v>46241</v>
      </c>
      <c r="F99" t="inlineStr">
        <is>
          <t>VÄSTRA GÖTALANDS LÄN</t>
        </is>
      </c>
      <c r="G99" t="inlineStr">
        <is>
          <t>BOLLEBYGD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18337-2023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45041</v>
      </c>
      <c r="E100" s="1" t="n">
        <v>46241</v>
      </c>
      <c r="F100" t="inlineStr">
        <is>
          <t>VÄSTRA GÖTALANDS LÄN</t>
        </is>
      </c>
      <c r="G100" t="inlineStr">
        <is>
          <t>BOLLEBYGD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49269-2025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46241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46241</v>
      </c>
      <c r="F102" t="inlineStr">
        <is>
          <t>VÄSTRA GÖTALANDS LÄN</t>
        </is>
      </c>
      <c r="G102" t="inlineStr">
        <is>
          <t>BOLLEBYGD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46241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40202-2021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44418</v>
      </c>
      <c r="E104" s="1" t="n">
        <v>46241</v>
      </c>
      <c r="F104" t="inlineStr">
        <is>
          <t>VÄSTRA GÖTALANDS LÄN</t>
        </is>
      </c>
      <c r="G104" t="inlineStr">
        <is>
          <t>BOLLEBYGD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45534</v>
      </c>
      <c r="E105" s="1" t="n">
        <v>46241</v>
      </c>
      <c r="F105" t="inlineStr">
        <is>
          <t>VÄSTRA GÖTALANDS LÄN</t>
        </is>
      </c>
      <c r="G105" t="inlineStr">
        <is>
          <t>BOLLEBYGD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67455-2021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46241</v>
      </c>
      <c r="F106" t="inlineStr">
        <is>
          <t>VÄSTRA GÖTALANDS LÄN</t>
        </is>
      </c>
      <c r="G106" t="inlineStr">
        <is>
          <t>BOLLEBYGD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45537</v>
      </c>
      <c r="E107" s="1" t="n">
        <v>46241</v>
      </c>
      <c r="F107" t="inlineStr">
        <is>
          <t>VÄSTRA GÖTALANDS LÄN</t>
        </is>
      </c>
      <c r="G107" t="inlineStr">
        <is>
          <t>BOLLEBYGD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46241</v>
      </c>
      <c r="F108" t="inlineStr">
        <is>
          <t>VÄSTRA GÖTALANDS LÄN</t>
        </is>
      </c>
      <c r="G108" t="inlineStr">
        <is>
          <t>BOLLEBYGD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46241</v>
      </c>
      <c r="F109" t="inlineStr">
        <is>
          <t>VÄSTRA GÖTALANDS LÄN</t>
        </is>
      </c>
      <c r="G109" t="inlineStr">
        <is>
          <t>BOLLEBYGD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46241</v>
      </c>
      <c r="F110" t="inlineStr">
        <is>
          <t>VÄSTRA GÖTALANDS LÄN</t>
        </is>
      </c>
      <c r="G110" t="inlineStr">
        <is>
          <t>BOLLEBYGD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45112</v>
      </c>
      <c r="E111" s="1" t="n">
        <v>46241</v>
      </c>
      <c r="F111" t="inlineStr">
        <is>
          <t>VÄSTRA GÖTALANDS LÄN</t>
        </is>
      </c>
      <c r="G111" t="inlineStr">
        <is>
          <t>BOLLEBYGD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46241</v>
      </c>
      <c r="F112" t="inlineStr">
        <is>
          <t>VÄSTRA GÖTALANDS LÄN</t>
        </is>
      </c>
      <c r="G112" t="inlineStr">
        <is>
          <t>BOLLEBYGD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46241</v>
      </c>
      <c r="F113" t="inlineStr">
        <is>
          <t>VÄSTRA GÖTALANDS LÄN</t>
        </is>
      </c>
      <c r="G113" t="inlineStr">
        <is>
          <t>BOLLEBYGD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52513-2025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46241</v>
      </c>
      <c r="F114" t="inlineStr">
        <is>
          <t>VÄSTRA GÖTALANDS LÄN</t>
        </is>
      </c>
      <c r="G114" t="inlineStr">
        <is>
          <t>BOLLEBYGD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46241</v>
      </c>
      <c r="F115" t="inlineStr">
        <is>
          <t>VÄSTRA GÖTALANDS LÄN</t>
        </is>
      </c>
      <c r="G115" t="inlineStr">
        <is>
          <t>BOLLEBYGD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46241</v>
      </c>
      <c r="F116" t="inlineStr">
        <is>
          <t>VÄSTRA GÖTALANDS LÄN</t>
        </is>
      </c>
      <c r="G116" t="inlineStr">
        <is>
          <t>BOLLEBYGD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46241</v>
      </c>
      <c r="F117" t="inlineStr">
        <is>
          <t>VÄSTRA GÖTALANDS LÄN</t>
        </is>
      </c>
      <c r="G117" t="inlineStr">
        <is>
          <t>BOLLEBYGD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46241</v>
      </c>
      <c r="F118" t="inlineStr">
        <is>
          <t>VÄSTRA GÖTALANDS LÄN</t>
        </is>
      </c>
      <c r="G118" t="inlineStr">
        <is>
          <t>BOLLEBYGD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46241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46241</v>
      </c>
      <c r="F120" t="inlineStr">
        <is>
          <t>VÄSTRA GÖTALANDS LÄN</t>
        </is>
      </c>
      <c r="G120" t="inlineStr">
        <is>
          <t>BOLLEBYGD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44726</v>
      </c>
      <c r="E121" s="1" t="n">
        <v>46241</v>
      </c>
      <c r="F121" t="inlineStr">
        <is>
          <t>VÄSTRA GÖTALANDS LÄN</t>
        </is>
      </c>
      <c r="G121" t="inlineStr">
        <is>
          <t>BOLLEBYGD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20598-2026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46241</v>
      </c>
      <c r="F122" t="inlineStr">
        <is>
          <t>VÄSTRA GÖTALANDS LÄN</t>
        </is>
      </c>
      <c r="G122" t="inlineStr">
        <is>
          <t>BOLLEBYGD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30650-2023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45112</v>
      </c>
      <c r="E123" s="1" t="n">
        <v>46241</v>
      </c>
      <c r="F123" t="inlineStr">
        <is>
          <t>VÄSTRA GÖTALANDS LÄN</t>
        </is>
      </c>
      <c r="G123" t="inlineStr">
        <is>
          <t>BOLLEBYGD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46241</v>
      </c>
      <c r="F124" t="inlineStr">
        <is>
          <t>VÄSTRA GÖTALANDS LÄN</t>
        </is>
      </c>
      <c r="G124" t="inlineStr">
        <is>
          <t>BOLLEBYGD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46241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45308</v>
      </c>
      <c r="E126" s="1" t="n">
        <v>46241</v>
      </c>
      <c r="F126" t="inlineStr">
        <is>
          <t>VÄSTRA GÖTALANDS LÄN</t>
        </is>
      </c>
      <c r="G126" t="inlineStr">
        <is>
          <t>BOLLEBYGD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46241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46241</v>
      </c>
      <c r="F128" t="inlineStr">
        <is>
          <t>VÄSTRA GÖTALANDS LÄN</t>
        </is>
      </c>
      <c r="G128" t="inlineStr">
        <is>
          <t>BOLLEBYGD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45982</v>
      </c>
      <c r="E129" s="1" t="n">
        <v>46241</v>
      </c>
      <c r="F129" t="inlineStr">
        <is>
          <t>VÄSTRA GÖTALANDS LÄN</t>
        </is>
      </c>
      <c r="G129" t="inlineStr">
        <is>
          <t>BOLLEBYGD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45982</v>
      </c>
      <c r="E130" s="1" t="n">
        <v>46241</v>
      </c>
      <c r="F130" t="inlineStr">
        <is>
          <t>VÄSTRA GÖTALANDS LÄN</t>
        </is>
      </c>
      <c r="G130" t="inlineStr">
        <is>
          <t>BOLLEBYGD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45288</v>
      </c>
      <c r="E131" s="1" t="n">
        <v>46241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45624</v>
      </c>
      <c r="E132" s="1" t="n">
        <v>46241</v>
      </c>
      <c r="F132" t="inlineStr">
        <is>
          <t>VÄSTRA GÖTALANDS LÄN</t>
        </is>
      </c>
      <c r="G132" t="inlineStr">
        <is>
          <t>BOLLEBYGD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43398-2024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45568</v>
      </c>
      <c r="E133" s="1" t="n">
        <v>46241</v>
      </c>
      <c r="F133" t="inlineStr">
        <is>
          <t>VÄSTRA GÖTALANDS LÄN</t>
        </is>
      </c>
      <c r="G133" t="inlineStr">
        <is>
          <t>BOLLEBYGD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46241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46241</v>
      </c>
      <c r="F135" t="inlineStr">
        <is>
          <t>VÄSTRA GÖTALANDS LÄN</t>
        </is>
      </c>
      <c r="G135" t="inlineStr">
        <is>
          <t>BOLLEBYGD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45992</v>
      </c>
      <c r="E136" s="1" t="n">
        <v>46241</v>
      </c>
      <c r="F136" t="inlineStr">
        <is>
          <t>VÄSTRA GÖTALANDS LÄN</t>
        </is>
      </c>
      <c r="G136" t="inlineStr">
        <is>
          <t>BOLLEBYGD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45993</v>
      </c>
      <c r="E137" s="1" t="n">
        <v>46241</v>
      </c>
      <c r="F137" t="inlineStr">
        <is>
          <t>VÄSTRA GÖTALANDS LÄN</t>
        </is>
      </c>
      <c r="G137" t="inlineStr">
        <is>
          <t>BOLLEBYGD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46241</v>
      </c>
      <c r="F138" t="inlineStr">
        <is>
          <t>VÄSTRA GÖTALANDS LÄN</t>
        </is>
      </c>
      <c r="G138" t="inlineStr">
        <is>
          <t>BOLLEBYGD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46241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60093-2025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45993</v>
      </c>
      <c r="E140" s="1" t="n">
        <v>46241</v>
      </c>
      <c r="F140" t="inlineStr">
        <is>
          <t>VÄSTRA GÖTALANDS LÄN</t>
        </is>
      </c>
      <c r="G140" t="inlineStr">
        <is>
          <t>BOLLEBYGD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59872-2025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46241</v>
      </c>
      <c r="F141" t="inlineStr">
        <is>
          <t>VÄSTRA GÖTALANDS LÄN</t>
        </is>
      </c>
      <c r="G141" t="inlineStr">
        <is>
          <t>BOLLEBYGD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45994</v>
      </c>
      <c r="E142" s="1" t="n">
        <v>46241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6745-2023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44966</v>
      </c>
      <c r="E143" s="1" t="n">
        <v>46241</v>
      </c>
      <c r="F143" t="inlineStr">
        <is>
          <t>VÄSTRA GÖTALANDS LÄN</t>
        </is>
      </c>
      <c r="G143" t="inlineStr">
        <is>
          <t>BOLLEBYGD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46241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46241</v>
      </c>
      <c r="F145" t="inlineStr">
        <is>
          <t>VÄSTRA GÖTALANDS LÄN</t>
        </is>
      </c>
      <c r="G145" t="inlineStr">
        <is>
          <t>BOLLEBYGD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46241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44992</v>
      </c>
      <c r="E147" s="1" t="n">
        <v>46241</v>
      </c>
      <c r="F147" t="inlineStr">
        <is>
          <t>VÄSTRA GÖTALANDS LÄN</t>
        </is>
      </c>
      <c r="G147" t="inlineStr">
        <is>
          <t>BOLLEBYGD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45721</v>
      </c>
      <c r="E148" s="1" t="n">
        <v>46241</v>
      </c>
      <c r="F148" t="inlineStr">
        <is>
          <t>VÄSTRA GÖTALANDS LÄN</t>
        </is>
      </c>
      <c r="G148" t="inlineStr">
        <is>
          <t>BOLLEBYGD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46241</v>
      </c>
      <c r="F149" t="inlineStr">
        <is>
          <t>VÄSTRA GÖTALANDS LÄN</t>
        </is>
      </c>
      <c r="G149" t="inlineStr">
        <is>
          <t>BOLLEBYGD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46241</v>
      </c>
      <c r="F150" t="inlineStr">
        <is>
          <t>VÄSTRA GÖTALANDS LÄN</t>
        </is>
      </c>
      <c r="G150" t="inlineStr">
        <is>
          <t>BOLLEBYGD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45763</v>
      </c>
      <c r="E151" s="1" t="n">
        <v>46241</v>
      </c>
      <c r="F151" t="inlineStr">
        <is>
          <t>VÄSTRA GÖTALANDS LÄN</t>
        </is>
      </c>
      <c r="G151" t="inlineStr">
        <is>
          <t>BOLLEBYGD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46241</v>
      </c>
      <c r="F152" t="inlineStr">
        <is>
          <t>VÄSTRA GÖTALANDS LÄN</t>
        </is>
      </c>
      <c r="G152" t="inlineStr">
        <is>
          <t>BOLLEBYGD</t>
        </is>
      </c>
      <c r="I152" t="n">
        <v>9.699999999999999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46241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45117</v>
      </c>
      <c r="E154" s="1" t="n">
        <v>46241</v>
      </c>
      <c r="F154" t="inlineStr">
        <is>
          <t>VÄSTRA GÖTALANDS LÄN</t>
        </is>
      </c>
      <c r="G154" t="inlineStr">
        <is>
          <t>BOLLEBYGD</t>
        </is>
      </c>
      <c r="I154" t="n">
        <v>12.4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46241</v>
      </c>
      <c r="F155" t="inlineStr">
        <is>
          <t>VÄSTRA GÖTALANDS LÄN</t>
        </is>
      </c>
      <c r="G155" t="inlineStr">
        <is>
          <t>BOLLEBYGD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47264-2024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45586</v>
      </c>
      <c r="E156" s="1" t="n">
        <v>46241</v>
      </c>
      <c r="F156" t="inlineStr">
        <is>
          <t>VÄSTRA GÖTALANDS LÄN</t>
        </is>
      </c>
      <c r="G156" t="inlineStr">
        <is>
          <t>BOLLEBYGD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46241</v>
      </c>
      <c r="F157" t="inlineStr">
        <is>
          <t>VÄSTRA GÖTALANDS LÄN</t>
        </is>
      </c>
      <c r="G157" t="inlineStr">
        <is>
          <t>BOLLEBYGD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47265-2024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45586</v>
      </c>
      <c r="E158" s="1" t="n">
        <v>46241</v>
      </c>
      <c r="F158" t="inlineStr">
        <is>
          <t>VÄSTRA GÖTALANDS LÄN</t>
        </is>
      </c>
      <c r="G158" t="inlineStr">
        <is>
          <t>BOLLEBYGD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45180</v>
      </c>
      <c r="E159" s="1" t="n">
        <v>46241</v>
      </c>
      <c r="F159" t="inlineStr">
        <is>
          <t>VÄSTRA GÖTALANDS LÄN</t>
        </is>
      </c>
      <c r="G159" t="inlineStr">
        <is>
          <t>BOLLEBYGD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6653-2022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46241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46241</v>
      </c>
      <c r="F161" t="inlineStr">
        <is>
          <t>VÄSTRA GÖTALANDS LÄN</t>
        </is>
      </c>
      <c r="G161" t="inlineStr">
        <is>
          <t>BOLLEBYGD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46241</v>
      </c>
      <c r="F162" t="inlineStr">
        <is>
          <t>VÄSTRA GÖTALANDS LÄN</t>
        </is>
      </c>
      <c r="G162" t="inlineStr">
        <is>
          <t>BOLLEBYGD</t>
        </is>
      </c>
      <c r="H162" t="inlineStr">
        <is>
          <t>Kyrkan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46241</v>
      </c>
      <c r="F163" t="inlineStr">
        <is>
          <t>VÄSTRA GÖTALANDS LÄN</t>
        </is>
      </c>
      <c r="G163" t="inlineStr">
        <is>
          <t>BOLLEBYGD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46241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46241</v>
      </c>
      <c r="F165" t="inlineStr">
        <is>
          <t>VÄSTRA GÖTALANDS LÄN</t>
        </is>
      </c>
      <c r="G165" t="inlineStr">
        <is>
          <t>BOLLEBYGD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46241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46241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46241</v>
      </c>
      <c r="F168" t="inlineStr">
        <is>
          <t>VÄSTRA GÖTALANDS LÄN</t>
        </is>
      </c>
      <c r="G168" t="inlineStr">
        <is>
          <t>BOLLEBYGD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46241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31724-2023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45117</v>
      </c>
      <c r="E170" s="1" t="n">
        <v>46241</v>
      </c>
      <c r="F170" t="inlineStr">
        <is>
          <t>VÄSTRA GÖTALANDS LÄN</t>
        </is>
      </c>
      <c r="G170" t="inlineStr">
        <is>
          <t>BOLLEBYGD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45117</v>
      </c>
      <c r="E171" s="1" t="n">
        <v>46241</v>
      </c>
      <c r="F171" t="inlineStr">
        <is>
          <t>VÄSTRA GÖTALANDS LÄN</t>
        </is>
      </c>
      <c r="G171" t="inlineStr">
        <is>
          <t>BOLLEBYGD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46241</v>
      </c>
      <c r="F172" t="inlineStr">
        <is>
          <t>VÄSTRA GÖTALANDS LÄN</t>
        </is>
      </c>
      <c r="G172" t="inlineStr">
        <is>
          <t>BOLLEBYGD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21751-2022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44708</v>
      </c>
      <c r="E173" s="1" t="n">
        <v>46241</v>
      </c>
      <c r="F173" t="inlineStr">
        <is>
          <t>VÄSTRA GÖTALANDS LÄN</t>
        </is>
      </c>
      <c r="G173" t="inlineStr">
        <is>
          <t>BOLLEBYGD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46241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45180</v>
      </c>
      <c r="E175" s="1" t="n">
        <v>46241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45561</v>
      </c>
      <c r="E176" s="1" t="n">
        <v>46241</v>
      </c>
      <c r="F176" t="inlineStr">
        <is>
          <t>VÄSTRA GÖTALANDS LÄN</t>
        </is>
      </c>
      <c r="G176" t="inlineStr">
        <is>
          <t>BOLLEBYGD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62986-2023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45272</v>
      </c>
      <c r="E177" s="1" t="n">
        <v>46241</v>
      </c>
      <c r="F177" t="inlineStr">
        <is>
          <t>VÄSTRA GÖTALANDS LÄN</t>
        </is>
      </c>
      <c r="G177" t="inlineStr">
        <is>
          <t>BOLLEBYGD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11584-2026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46084</v>
      </c>
      <c r="E178" s="1" t="n">
        <v>46241</v>
      </c>
      <c r="F178" t="inlineStr">
        <is>
          <t>VÄSTRA GÖTALANDS LÄN</t>
        </is>
      </c>
      <c r="G178" t="inlineStr">
        <is>
          <t>BOLLEBYGD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12469-2026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46090</v>
      </c>
      <c r="E179" s="1" t="n">
        <v>46241</v>
      </c>
      <c r="F179" t="inlineStr">
        <is>
          <t>VÄSTRA GÖTALANDS LÄN</t>
        </is>
      </c>
      <c r="G179" t="inlineStr">
        <is>
          <t>BOLLEBYGD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46090</v>
      </c>
      <c r="E180" s="1" t="n">
        <v>46241</v>
      </c>
      <c r="F180" t="inlineStr">
        <is>
          <t>VÄSTRA GÖTALANDS LÄN</t>
        </is>
      </c>
      <c r="G180" t="inlineStr">
        <is>
          <t>BOLLEBYGD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13120-2026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46241</v>
      </c>
      <c r="F181" t="inlineStr">
        <is>
          <t>VÄSTRA GÖTALANDS LÄN</t>
        </is>
      </c>
      <c r="G181" t="inlineStr">
        <is>
          <t>BOLLEBYGD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13121-2026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46093</v>
      </c>
      <c r="E182" s="1" t="n">
        <v>46241</v>
      </c>
      <c r="F182" t="inlineStr">
        <is>
          <t>VÄSTRA GÖTALANDS LÄN</t>
        </is>
      </c>
      <c r="G182" t="inlineStr">
        <is>
          <t>BOLLEBYGD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12879-2026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46092</v>
      </c>
      <c r="E183" s="1" t="n">
        <v>46241</v>
      </c>
      <c r="F183" t="inlineStr">
        <is>
          <t>VÄSTRA GÖTALANDS LÄN</t>
        </is>
      </c>
      <c r="G183" t="inlineStr">
        <is>
          <t>BOLLEBYGD</t>
        </is>
      </c>
      <c r="H183" t="inlineStr">
        <is>
          <t>Sveaskog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24965-2026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46241</v>
      </c>
      <c r="F184" t="inlineStr">
        <is>
          <t>VÄSTRA GÖTALANDS LÄN</t>
        </is>
      </c>
      <c r="G184" t="inlineStr">
        <is>
          <t>BOLLEBYGD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46241</v>
      </c>
      <c r="F185" t="inlineStr">
        <is>
          <t>VÄSTRA GÖTALANDS LÄN</t>
        </is>
      </c>
      <c r="G185" t="inlineStr">
        <is>
          <t>BOLLEBYGD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45989</v>
      </c>
      <c r="E186" s="1" t="n">
        <v>46241</v>
      </c>
      <c r="F186" t="inlineStr">
        <is>
          <t>VÄSTRA GÖTALANDS LÄN</t>
        </is>
      </c>
      <c r="G186" t="inlineStr">
        <is>
          <t>BOLLEBYGD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45254</v>
      </c>
      <c r="E187" s="1" t="n">
        <v>46241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14111-2026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46099</v>
      </c>
      <c r="E188" s="1" t="n">
        <v>46241</v>
      </c>
      <c r="F188" t="inlineStr">
        <is>
          <t>VÄSTRA GÖTALANDS LÄN</t>
        </is>
      </c>
      <c r="G188" t="inlineStr">
        <is>
          <t>BOLLEBYGD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14545-2026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46100</v>
      </c>
      <c r="E189" s="1" t="n">
        <v>46241</v>
      </c>
      <c r="F189" t="inlineStr">
        <is>
          <t>VÄSTRA GÖTALANDS LÄN</t>
        </is>
      </c>
      <c r="G189" t="inlineStr">
        <is>
          <t>BOLLEBYGD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58011-2022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46241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46241</v>
      </c>
      <c r="F191" t="inlineStr">
        <is>
          <t>VÄSTRA GÖTALANDS LÄN</t>
        </is>
      </c>
      <c r="G191" t="inlineStr">
        <is>
          <t>BOLLEBYGD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46241</v>
      </c>
      <c r="F192" t="inlineStr">
        <is>
          <t>VÄSTRA GÖTALANDS LÄN</t>
        </is>
      </c>
      <c r="G192" t="inlineStr">
        <is>
          <t>BOLLEBYGD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46241</v>
      </c>
      <c r="F193" t="inlineStr">
        <is>
          <t>VÄSTRA GÖTALANDS LÄN</t>
        </is>
      </c>
      <c r="G193" t="inlineStr">
        <is>
          <t>BOLLEBYGD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55159-2024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46241</v>
      </c>
      <c r="F194" t="inlineStr">
        <is>
          <t>VÄSTRA GÖTALANDS LÄN</t>
        </is>
      </c>
      <c r="G194" t="inlineStr">
        <is>
          <t>BOLLEBYGD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45377</v>
      </c>
      <c r="E195" s="1" t="n">
        <v>46241</v>
      </c>
      <c r="F195" t="inlineStr">
        <is>
          <t>VÄSTRA GÖTALANDS LÄN</t>
        </is>
      </c>
      <c r="G195" t="inlineStr">
        <is>
          <t>BOLLEBYGD</t>
        </is>
      </c>
      <c r="H195" t="inlineStr">
        <is>
          <t>Kommuner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26642-2026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46241</v>
      </c>
      <c r="F196" t="inlineStr">
        <is>
          <t>VÄSTRA GÖTALANDS LÄN</t>
        </is>
      </c>
      <c r="G196" t="inlineStr">
        <is>
          <t>BOLLEBYGD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46188</v>
      </c>
      <c r="E197" s="1" t="n">
        <v>46241</v>
      </c>
      <c r="F197" t="inlineStr">
        <is>
          <t>VÄSTRA GÖTALANDS LÄN</t>
        </is>
      </c>
      <c r="G197" t="inlineStr">
        <is>
          <t>BOLLEBYGD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46241</v>
      </c>
      <c r="F198" t="inlineStr">
        <is>
          <t>VÄSTRA GÖTALANDS LÄN</t>
        </is>
      </c>
      <c r="G198" t="inlineStr">
        <is>
          <t>BOLLEBYGD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46231</v>
      </c>
      <c r="E199" s="1" t="n">
        <v>46241</v>
      </c>
      <c r="F199" t="inlineStr">
        <is>
          <t>VÄSTRA GÖTALANDS LÄN</t>
        </is>
      </c>
      <c r="G199" t="inlineStr">
        <is>
          <t>BOLLEBYGD</t>
        </is>
      </c>
      <c r="H199" t="inlineStr">
        <is>
          <t>Kyrkan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44449</v>
      </c>
      <c r="E200" s="1" t="n">
        <v>46241</v>
      </c>
      <c r="F200" t="inlineStr">
        <is>
          <t>VÄSTRA GÖTALANDS LÄN</t>
        </is>
      </c>
      <c r="G200" t="inlineStr">
        <is>
          <t>BOLLEBYGD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27782-2026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46241</v>
      </c>
      <c r="F201" t="inlineStr">
        <is>
          <t>VÄSTRA GÖTALANDS LÄN</t>
        </is>
      </c>
      <c r="G201" t="inlineStr">
        <is>
          <t>BOLLEBYGD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44881</v>
      </c>
      <c r="E202" s="1" t="n">
        <v>46241</v>
      </c>
      <c r="F202" t="inlineStr">
        <is>
          <t>VÄSTRA GÖTALANDS LÄN</t>
        </is>
      </c>
      <c r="G202" t="inlineStr">
        <is>
          <t>BOLLEBYGD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45308</v>
      </c>
      <c r="E203" s="1" t="n">
        <v>46241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17434-2026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46120</v>
      </c>
      <c r="E204" s="1" t="n">
        <v>46241</v>
      </c>
      <c r="F204" t="inlineStr">
        <is>
          <t>VÄSTRA GÖTALANDS LÄN</t>
        </is>
      </c>
      <c r="G204" t="inlineStr">
        <is>
          <t>BOLLEBYGD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46241</v>
      </c>
      <c r="F205" t="inlineStr">
        <is>
          <t>VÄSTRA GÖTALANDS LÄN</t>
        </is>
      </c>
      <c r="G205" t="inlineStr">
        <is>
          <t>BOLLEBYGD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44868</v>
      </c>
      <c r="E206" s="1" t="n">
        <v>46241</v>
      </c>
      <c r="F206" t="inlineStr">
        <is>
          <t>VÄSTRA GÖTALANDS LÄN</t>
        </is>
      </c>
      <c r="G206" t="inlineStr">
        <is>
          <t>BOLLEBYGD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61334-2022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46241</v>
      </c>
      <c r="F207" t="inlineStr">
        <is>
          <t>VÄSTRA GÖTALANDS LÄN</t>
        </is>
      </c>
      <c r="G207" t="inlineStr">
        <is>
          <t>BOLLEBYGD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46241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46241</v>
      </c>
      <c r="F209" t="inlineStr">
        <is>
          <t>VÄSTRA GÖTALANDS LÄN</t>
        </is>
      </c>
      <c r="G209" t="inlineStr">
        <is>
          <t>BOLLEBYGD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46241</v>
      </c>
      <c r="F210" t="inlineStr">
        <is>
          <t>VÄSTRA GÖTALANDS LÄN</t>
        </is>
      </c>
      <c r="G210" t="inlineStr">
        <is>
          <t>BOLLEBYGD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54311-2022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44882</v>
      </c>
      <c r="E211" s="1" t="n">
        <v>46241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46241</v>
      </c>
      <c r="F212" t="inlineStr">
        <is>
          <t>VÄSTRA GÖTALANDS LÄN</t>
        </is>
      </c>
      <c r="G212" t="inlineStr">
        <is>
          <t>BOLLEBYGD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44914</v>
      </c>
      <c r="E213" s="1" t="n">
        <v>46241</v>
      </c>
      <c r="F213" t="inlineStr">
        <is>
          <t>VÄSTRA GÖTALANDS LÄN</t>
        </is>
      </c>
      <c r="G213" t="inlineStr">
        <is>
          <t>BOLLEBYGD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63725-2023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45276</v>
      </c>
      <c r="E214" s="1" t="n">
        <v>46241</v>
      </c>
      <c r="F214" t="inlineStr">
        <is>
          <t>VÄSTRA GÖTALANDS LÄN</t>
        </is>
      </c>
      <c r="G214" t="inlineStr">
        <is>
          <t>BOLLEBYGD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9527-2023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46241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46241</v>
      </c>
      <c r="F216" t="inlineStr">
        <is>
          <t>VÄSTRA GÖTALANDS LÄN</t>
        </is>
      </c>
      <c r="G216" t="inlineStr">
        <is>
          <t>BOLLEBYGD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30762-2023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45112</v>
      </c>
      <c r="E217" s="1" t="n">
        <v>46241</v>
      </c>
      <c r="F217" t="inlineStr">
        <is>
          <t>VÄSTRA GÖTALANDS LÄN</t>
        </is>
      </c>
      <c r="G217" t="inlineStr">
        <is>
          <t>BOLLEBYGD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45162</v>
      </c>
      <c r="E218" s="1" t="n">
        <v>46241</v>
      </c>
      <c r="F218" t="inlineStr">
        <is>
          <t>VÄSTRA GÖTALANDS LÄN</t>
        </is>
      </c>
      <c r="G218" t="inlineStr">
        <is>
          <t>BOLLEBYGD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45112</v>
      </c>
      <c r="E219" s="1" t="n">
        <v>46241</v>
      </c>
      <c r="F219" t="inlineStr">
        <is>
          <t>VÄSTRA GÖTALANDS LÄN</t>
        </is>
      </c>
      <c r="G219" t="inlineStr">
        <is>
          <t>BOLLEBYGD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18305-2025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45762</v>
      </c>
      <c r="E220" s="1" t="n">
        <v>46241</v>
      </c>
      <c r="F220" t="inlineStr">
        <is>
          <t>VÄSTRA GÖTALANDS LÄN</t>
        </is>
      </c>
      <c r="G220" t="inlineStr">
        <is>
          <t>BOLLEBYGD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46241</v>
      </c>
      <c r="F221" t="inlineStr">
        <is>
          <t>VÄSTRA GÖTALANDS LÄN</t>
        </is>
      </c>
      <c r="G221" t="inlineStr">
        <is>
          <t>BOLLEBYGD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38074-2023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46241</v>
      </c>
      <c r="F222" t="inlineStr">
        <is>
          <t>VÄSTRA GÖTALANDS LÄN</t>
        </is>
      </c>
      <c r="G222" t="inlineStr">
        <is>
          <t>BOLLEBYGD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50981-2023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45218</v>
      </c>
      <c r="E223" s="1" t="n">
        <v>46241</v>
      </c>
      <c r="F223" t="inlineStr">
        <is>
          <t>VÄSTRA GÖTALANDS LÄN</t>
        </is>
      </c>
      <c r="G223" t="inlineStr">
        <is>
          <t>BOLLEBYGD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45248</v>
      </c>
      <c r="E224" s="1" t="n">
        <v>46241</v>
      </c>
      <c r="F224" t="inlineStr">
        <is>
          <t>VÄSTRA GÖTALANDS LÄN</t>
        </is>
      </c>
      <c r="G224" t="inlineStr">
        <is>
          <t>BOLLEBYGD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64207-2021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44510</v>
      </c>
      <c r="E225" s="1" t="n">
        <v>46241</v>
      </c>
      <c r="F225" t="inlineStr">
        <is>
          <t>VÄSTRA GÖTALANDS LÄN</t>
        </is>
      </c>
      <c r="G225" t="inlineStr">
        <is>
          <t>BOLLEBYGD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46241</v>
      </c>
      <c r="F226" t="inlineStr">
        <is>
          <t>VÄSTRA GÖTALANDS LÄN</t>
        </is>
      </c>
      <c r="G226" t="inlineStr">
        <is>
          <t>BOLLEBYGD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57443-2024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46241</v>
      </c>
      <c r="F227" t="inlineStr">
        <is>
          <t>VÄSTRA GÖTALANDS LÄN</t>
        </is>
      </c>
      <c r="G227" t="inlineStr">
        <is>
          <t>BOLLEBYGD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46241</v>
      </c>
      <c r="F228" t="inlineStr">
        <is>
          <t>VÄSTRA GÖTALANDS LÄN</t>
        </is>
      </c>
      <c r="G228" t="inlineStr">
        <is>
          <t>BOLLEBYGD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23907-2024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46241</v>
      </c>
      <c r="F229" t="inlineStr">
        <is>
          <t>VÄSTRA GÖTALANDS LÄN</t>
        </is>
      </c>
      <c r="G229" t="inlineStr">
        <is>
          <t>BOLLEBYGD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45572</v>
      </c>
      <c r="E230" s="1" t="n">
        <v>46241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46241</v>
      </c>
      <c r="F231" t="inlineStr">
        <is>
          <t>VÄSTRA GÖTALANDS LÄN</t>
        </is>
      </c>
      <c r="G231" t="inlineStr">
        <is>
          <t>BOLLEBYGD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46241</v>
      </c>
      <c r="F232" t="inlineStr">
        <is>
          <t>VÄSTRA GÖTALANDS LÄN</t>
        </is>
      </c>
      <c r="G232" t="inlineStr">
        <is>
          <t>BOLLEBYGD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46241</v>
      </c>
      <c r="F233" t="inlineStr">
        <is>
          <t>VÄSTRA GÖTALANDS LÄN</t>
        </is>
      </c>
      <c r="G233" t="inlineStr">
        <is>
          <t>BOLLEBYGD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46241</v>
      </c>
      <c r="F234" t="inlineStr">
        <is>
          <t>VÄSTRA GÖTALANDS LÄN</t>
        </is>
      </c>
      <c r="G234" t="inlineStr">
        <is>
          <t>BOLLEBYGD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46241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46241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45838</v>
      </c>
      <c r="E237" s="1" t="n">
        <v>46241</v>
      </c>
      <c r="F237" t="inlineStr">
        <is>
          <t>VÄSTRA GÖTALANDS LÄN</t>
        </is>
      </c>
      <c r="G237" t="inlineStr">
        <is>
          <t>BOLLEBYGD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32320-2025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45836</v>
      </c>
      <c r="E238" s="1" t="n">
        <v>46241</v>
      </c>
      <c r="F238" t="inlineStr">
        <is>
          <t>VÄSTRA GÖTALANDS LÄN</t>
        </is>
      </c>
      <c r="G238" t="inlineStr">
        <is>
          <t>BOLLEBYGD</t>
        </is>
      </c>
      <c r="I238" t="n">
        <v>11.7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46241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46241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2026-08-07T01:56:20Z</dcterms:created>
  <dcterms:modified xmlns:dcterms="http://purl.org/dc/terms/" xmlns:xsi="http://www.w3.org/2001/XMLSchema-instance" xsi:type="dcterms:W3CDTF">2026-08-07T01:56:20Z</dcterms:modified>
</cp:coreProperties>
</file>