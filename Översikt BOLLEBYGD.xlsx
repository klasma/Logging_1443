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46192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s="1" t="n">
        <v>45377</v>
      </c>
      <c r="C4" s="1" t="n">
        <v>46192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Kattfotslav
Talltita
Vedticka
Tjäder
Orre</t>
        </is>
      </c>
      <c r="S4">
        <f>HYPERLINK("https://klasma.github.io/Logging_1443/artfynd/A 12131-2024 artfynd.xlsx", "A 12131-2024")</f>
        <v/>
      </c>
      <c r="T4">
        <f>HYPERLINK("https://klasma.github.io/Logging_1443/kartor/A 12131-2024 karta.png", "A 12131-2024")</f>
        <v/>
      </c>
      <c r="V4">
        <f>HYPERLINK("https://klasma.github.io/Logging_1443/klagomål/A 12131-2024 FSC-klagomål.docx", "A 12131-2024")</f>
        <v/>
      </c>
      <c r="W4">
        <f>HYPERLINK("https://klasma.github.io/Logging_1443/klagomålsmail/A 12131-2024 FSC-klagomål mail.docx", "A 12131-2024")</f>
        <v/>
      </c>
      <c r="X4">
        <f>HYPERLINK("https://klasma.github.io/Logging_1443/tillsyn/A 12131-2024 tillsynsbegäran.docx", "A 12131-2024")</f>
        <v/>
      </c>
      <c r="Y4">
        <f>HYPERLINK("https://klasma.github.io/Logging_1443/tillsynsmail/A 12131-2024 tillsynsbegäran mail.docx", "A 12131-2024")</f>
        <v/>
      </c>
      <c r="Z4">
        <f>HYPERLINK("https://klasma.github.io/Logging_1443/fåglar/A 12131-2024 prioriterade fågelarter.docx", "A 12131-2024")</f>
        <v/>
      </c>
    </row>
    <row r="5" ht="15" customHeight="1">
      <c r="A5" t="inlineStr">
        <is>
          <t>A 50011-2023</t>
        </is>
      </c>
      <c r="B5" s="1" t="n">
        <v>45215</v>
      </c>
      <c r="C5" s="1" t="n">
        <v>46192</v>
      </c>
      <c r="D5" t="inlineStr">
        <is>
          <t>VÄSTRA GÖTALANDS LÄN</t>
        </is>
      </c>
      <c r="E5" t="inlineStr">
        <is>
          <t>BOLLEBYGD</t>
        </is>
      </c>
      <c r="G5" t="n">
        <v>7.5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1</v>
      </c>
      <c r="O5" t="n">
        <v>4</v>
      </c>
      <c r="P5" t="n">
        <v>0</v>
      </c>
      <c r="Q5" t="n">
        <v>4</v>
      </c>
      <c r="R5" s="2" t="inlineStr">
        <is>
          <t>Svartbent strandpipare
Grönsångare
Strandskata
Sädesärla</t>
        </is>
      </c>
      <c r="S5">
        <f>HYPERLINK("https://klasma.github.io/Logging_1443/artfynd/A 50011-2023 artfynd.xlsx", "A 50011-2023")</f>
        <v/>
      </c>
      <c r="T5">
        <f>HYPERLINK("https://klasma.github.io/Logging_1443/kartor/A 50011-2023 karta.png", "A 50011-2023")</f>
        <v/>
      </c>
      <c r="V5">
        <f>HYPERLINK("https://klasma.github.io/Logging_1443/klagomål/A 50011-2023 FSC-klagomål.docx", "A 50011-2023")</f>
        <v/>
      </c>
      <c r="W5">
        <f>HYPERLINK("https://klasma.github.io/Logging_1443/klagomålsmail/A 50011-2023 FSC-klagomål mail.docx", "A 50011-2023")</f>
        <v/>
      </c>
      <c r="X5">
        <f>HYPERLINK("https://klasma.github.io/Logging_1443/tillsyn/A 50011-2023 tillsynsbegäran.docx", "A 50011-2023")</f>
        <v/>
      </c>
      <c r="Y5">
        <f>HYPERLINK("https://klasma.github.io/Logging_1443/tillsynsmail/A 50011-2023 tillsynsbegäran mail.docx", "A 50011-2023")</f>
        <v/>
      </c>
      <c r="Z5">
        <f>HYPERLINK("https://klasma.github.io/Logging_1443/fåglar/A 50011-2023 prioriterade fågelarter.docx", "A 50011-2023")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46192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Oxtungssvamp
Vågbandad barkbock
Svartvit flugsnappare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  <c r="Z6">
        <f>HYPERLINK("https://klasma.github.io/Logging_1443/fåglar/A 30777-2023 prioriterade fågelarter.docx", "A 30777-2023")</f>
        <v/>
      </c>
    </row>
    <row r="7" ht="15" customHeight="1">
      <c r="A7" t="inlineStr">
        <is>
          <t>A 30655-2023</t>
        </is>
      </c>
      <c r="B7" s="1" t="n">
        <v>45112</v>
      </c>
      <c r="C7" s="1" t="n">
        <v>46192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Klippfrullania
Trädporella
Fläcknycklar</t>
        </is>
      </c>
      <c r="S7">
        <f>HYPERLINK("https://klasma.github.io/Logging_1443/artfynd/A 30655-2023 artfynd.xlsx", "A 30655-2023")</f>
        <v/>
      </c>
      <c r="T7">
        <f>HYPERLINK("https://klasma.github.io/Logging_1443/kartor/A 30655-2023 karta.png", "A 30655-2023")</f>
        <v/>
      </c>
      <c r="V7">
        <f>HYPERLINK("https://klasma.github.io/Logging_1443/klagomål/A 30655-2023 FSC-klagomål.docx", "A 30655-2023")</f>
        <v/>
      </c>
      <c r="W7">
        <f>HYPERLINK("https://klasma.github.io/Logging_1443/klagomålsmail/A 30655-2023 FSC-klagomål mail.docx", "A 30655-2023")</f>
        <v/>
      </c>
      <c r="X7">
        <f>HYPERLINK("https://klasma.github.io/Logging_1443/tillsyn/A 30655-2023 tillsynsbegäran.docx", "A 30655-2023")</f>
        <v/>
      </c>
      <c r="Y7">
        <f>HYPERLINK("https://klasma.github.io/Logging_1443/tillsynsmail/A 30655-2023 tillsynsbegäran mail.docx", "A 30655-2023")</f>
        <v/>
      </c>
    </row>
    <row r="8" ht="15" customHeight="1">
      <c r="A8" t="inlineStr">
        <is>
          <t>A 30671-2023</t>
        </is>
      </c>
      <c r="B8" s="1" t="n">
        <v>45112</v>
      </c>
      <c r="C8" s="1" t="n">
        <v>46192</v>
      </c>
      <c r="D8" t="inlineStr">
        <is>
          <t>VÄSTRA GÖTALANDS LÄN</t>
        </is>
      </c>
      <c r="E8" t="inlineStr">
        <is>
          <t>BOLLEBYGD</t>
        </is>
      </c>
      <c r="G8" t="n">
        <v>4.9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Järnsparv
Spillkråka</t>
        </is>
      </c>
      <c r="S8">
        <f>HYPERLINK("https://klasma.github.io/Logging_1443/artfynd/A 30671-2023 artfynd.xlsx", "A 30671-2023")</f>
        <v/>
      </c>
      <c r="T8">
        <f>HYPERLINK("https://klasma.github.io/Logging_1443/kartor/A 30671-2023 karta.png", "A 30671-2023")</f>
        <v/>
      </c>
      <c r="U8">
        <f>HYPERLINK("https://klasma.github.io/Logging_1443/knärot/A 30671-2023 karta knärot.png", "A 30671-2023")</f>
        <v/>
      </c>
      <c r="V8">
        <f>HYPERLINK("https://klasma.github.io/Logging_1443/klagomål/A 30671-2023 FSC-klagomål.docx", "A 30671-2023")</f>
        <v/>
      </c>
      <c r="W8">
        <f>HYPERLINK("https://klasma.github.io/Logging_1443/klagomålsmail/A 30671-2023 FSC-klagomål mail.docx", "A 30671-2023")</f>
        <v/>
      </c>
      <c r="X8">
        <f>HYPERLINK("https://klasma.github.io/Logging_1443/tillsyn/A 30671-2023 tillsynsbegäran.docx", "A 30671-2023")</f>
        <v/>
      </c>
      <c r="Y8">
        <f>HYPERLINK("https://klasma.github.io/Logging_1443/tillsynsmail/A 30671-2023 tillsynsbegäran mail.docx", "A 30671-2023")</f>
        <v/>
      </c>
      <c r="Z8">
        <f>HYPERLINK("https://klasma.github.io/Logging_1443/fåglar/A 30671-2023 prioriterade fågelarter.docx", "A 30671-2023")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46192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Lunglav
Grönvit nattviol
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s="1" t="n">
        <v>45117</v>
      </c>
      <c r="C10" s="1" t="n">
        <v>46192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Gammelgransskål
Kattfotslav
Spillkråka</t>
        </is>
      </c>
      <c r="S10">
        <f>HYPERLINK("https://klasma.github.io/Logging_1443/artfynd/A 31728-2023 artfynd.xlsx", "A 31728-2023")</f>
        <v/>
      </c>
      <c r="T10">
        <f>HYPERLINK("https://klasma.github.io/Logging_1443/kartor/A 31728-2023 karta.png", "A 31728-2023")</f>
        <v/>
      </c>
      <c r="V10">
        <f>HYPERLINK("https://klasma.github.io/Logging_1443/klagomål/A 31728-2023 FSC-klagomål.docx", "A 31728-2023")</f>
        <v/>
      </c>
      <c r="W10">
        <f>HYPERLINK("https://klasma.github.io/Logging_1443/klagomålsmail/A 31728-2023 FSC-klagomål mail.docx", "A 31728-2023")</f>
        <v/>
      </c>
      <c r="X10">
        <f>HYPERLINK("https://klasma.github.io/Logging_1443/tillsyn/A 31728-2023 tillsynsbegäran.docx", "A 31728-2023")</f>
        <v/>
      </c>
      <c r="Y10">
        <f>HYPERLINK("https://klasma.github.io/Logging_1443/tillsynsmail/A 31728-2023 tillsynsbegäran mail.docx", "A 31728-2023")</f>
        <v/>
      </c>
      <c r="Z10">
        <f>HYPERLINK("https://klasma.github.io/Logging_1443/fåglar/A 31728-2023 prioriterade fågelarter.docx", "A 31728-2023")</f>
        <v/>
      </c>
    </row>
    <row r="11" ht="15" customHeight="1">
      <c r="A11" t="inlineStr">
        <is>
          <t>A 31714-2023</t>
        </is>
      </c>
      <c r="B11" s="1" t="n">
        <v>45117</v>
      </c>
      <c r="C11" s="1" t="n">
        <v>46192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Grönsiska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46192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Tjäder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31843-2021</t>
        </is>
      </c>
      <c r="B13" s="1" t="n">
        <v>44370</v>
      </c>
      <c r="C13" s="1" t="n">
        <v>46192</v>
      </c>
      <c r="D13" t="inlineStr">
        <is>
          <t>VÄSTRA GÖTALANDS LÄN</t>
        </is>
      </c>
      <c r="E13" t="inlineStr">
        <is>
          <t>BOLLEBYGD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Spillkråka</t>
        </is>
      </c>
      <c r="S13">
        <f>HYPERLINK("https://klasma.github.io/Logging_1443/artfynd/A 31843-2021 artfynd.xlsx", "A 31843-2021")</f>
        <v/>
      </c>
      <c r="T13">
        <f>HYPERLINK("https://klasma.github.io/Logging_1443/kartor/A 31843-2021 karta.png", "A 31843-2021")</f>
        <v/>
      </c>
      <c r="V13">
        <f>HYPERLINK("https://klasma.github.io/Logging_1443/klagomål/A 31843-2021 FSC-klagomål.docx", "A 31843-2021")</f>
        <v/>
      </c>
      <c r="W13">
        <f>HYPERLINK("https://klasma.github.io/Logging_1443/klagomålsmail/A 31843-2021 FSC-klagomål mail.docx", "A 31843-2021")</f>
        <v/>
      </c>
      <c r="X13">
        <f>HYPERLINK("https://klasma.github.io/Logging_1443/tillsyn/A 31843-2021 tillsynsbegäran.docx", "A 31843-2021")</f>
        <v/>
      </c>
      <c r="Y13">
        <f>HYPERLINK("https://klasma.github.io/Logging_1443/tillsynsmail/A 31843-2021 tillsynsbegäran mail.docx", "A 31843-2021")</f>
        <v/>
      </c>
      <c r="Z13">
        <f>HYPERLINK("https://klasma.github.io/Logging_1443/fåglar/A 31843-2021 prioriterade fågelarter.docx", "A 31843-2021")</f>
        <v/>
      </c>
    </row>
    <row r="14" ht="15" customHeight="1">
      <c r="A14" t="inlineStr">
        <is>
          <t>A 30792-2023</t>
        </is>
      </c>
      <c r="B14" s="1" t="n">
        <v>45112</v>
      </c>
      <c r="C14" s="1" t="n">
        <v>46192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Ärtsångare</t>
        </is>
      </c>
      <c r="S14">
        <f>HYPERLINK("https://klasma.github.io/Logging_1443/artfynd/A 30792-2023 artfynd.xlsx", "A 30792-2023")</f>
        <v/>
      </c>
      <c r="T14">
        <f>HYPERLINK("https://klasma.github.io/Logging_1443/kartor/A 30792-2023 karta.png", "A 30792-2023")</f>
        <v/>
      </c>
      <c r="V14">
        <f>HYPERLINK("https://klasma.github.io/Logging_1443/klagomål/A 30792-2023 FSC-klagomål.docx", "A 30792-2023")</f>
        <v/>
      </c>
      <c r="W14">
        <f>HYPERLINK("https://klasma.github.io/Logging_1443/klagomålsmail/A 30792-2023 FSC-klagomål mail.docx", "A 30792-2023")</f>
        <v/>
      </c>
      <c r="X14">
        <f>HYPERLINK("https://klasma.github.io/Logging_1443/tillsyn/A 30792-2023 tillsynsbegäran.docx", "A 30792-2023")</f>
        <v/>
      </c>
      <c r="Y14">
        <f>HYPERLINK("https://klasma.github.io/Logging_1443/tillsynsmail/A 30792-2023 tillsynsbegäran mail.docx", "A 30792-2023")</f>
        <v/>
      </c>
      <c r="Z14">
        <f>HYPERLINK("https://klasma.github.io/Logging_1443/fåglar/A 30792-2023 prioriterade fågelarter.docx", "A 30792-2023")</f>
        <v/>
      </c>
    </row>
    <row r="15" ht="15" customHeight="1">
      <c r="A15" t="inlineStr">
        <is>
          <t>A 13115-2026</t>
        </is>
      </c>
      <c r="B15" s="1" t="n">
        <v>46093</v>
      </c>
      <c r="C15" s="1" t="n">
        <v>46192</v>
      </c>
      <c r="D15" t="inlineStr">
        <is>
          <t>VÄSTRA GÖTALANDS LÄN</t>
        </is>
      </c>
      <c r="E15" t="inlineStr">
        <is>
          <t>BOLLEBYGD</t>
        </is>
      </c>
      <c r="G15" t="n">
        <v>6.5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Fläcknycklar</t>
        </is>
      </c>
      <c r="S15">
        <f>HYPERLINK("https://klasma.github.io/Logging_1443/artfynd/A 13115-2026 artfynd.xlsx", "A 13115-2026")</f>
        <v/>
      </c>
      <c r="T15">
        <f>HYPERLINK("https://klasma.github.io/Logging_1443/kartor/A 13115-2026 karta.png", "A 13115-2026")</f>
        <v/>
      </c>
      <c r="V15">
        <f>HYPERLINK("https://klasma.github.io/Logging_1443/klagomål/A 13115-2026 FSC-klagomål.docx", "A 13115-2026")</f>
        <v/>
      </c>
      <c r="W15">
        <f>HYPERLINK("https://klasma.github.io/Logging_1443/klagomålsmail/A 13115-2026 FSC-klagomål mail.docx", "A 13115-2026")</f>
        <v/>
      </c>
      <c r="X15">
        <f>HYPERLINK("https://klasma.github.io/Logging_1443/tillsyn/A 13115-2026 tillsynsbegäran.docx", "A 13115-2026")</f>
        <v/>
      </c>
      <c r="Y15">
        <f>HYPERLINK("https://klasma.github.io/Logging_1443/tillsynsmail/A 13115-2026 tillsynsbegäran mail.docx", "A 13115-2026")</f>
        <v/>
      </c>
    </row>
    <row r="16" ht="15" customHeight="1">
      <c r="A16" t="inlineStr">
        <is>
          <t>A 9930-2024</t>
        </is>
      </c>
      <c r="B16" s="1" t="n">
        <v>45363</v>
      </c>
      <c r="C16" s="1" t="n">
        <v>46192</v>
      </c>
      <c r="D16" t="inlineStr">
        <is>
          <t>VÄSTRA GÖTALANDS LÄN</t>
        </is>
      </c>
      <c r="E16" t="inlineStr">
        <is>
          <t>BOLLEBYGD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träfjäril
Spillkråka</t>
        </is>
      </c>
      <c r="S16">
        <f>HYPERLINK("https://klasma.github.io/Logging_1443/artfynd/A 9930-2024 artfynd.xlsx", "A 9930-2024")</f>
        <v/>
      </c>
      <c r="T16">
        <f>HYPERLINK("https://klasma.github.io/Logging_1443/kartor/A 9930-2024 karta.png", "A 9930-2024")</f>
        <v/>
      </c>
      <c r="V16">
        <f>HYPERLINK("https://klasma.github.io/Logging_1443/klagomål/A 9930-2024 FSC-klagomål.docx", "A 9930-2024")</f>
        <v/>
      </c>
      <c r="W16">
        <f>HYPERLINK("https://klasma.github.io/Logging_1443/klagomålsmail/A 9930-2024 FSC-klagomål mail.docx", "A 9930-2024")</f>
        <v/>
      </c>
      <c r="X16">
        <f>HYPERLINK("https://klasma.github.io/Logging_1443/tillsyn/A 9930-2024 tillsynsbegäran.docx", "A 9930-2024")</f>
        <v/>
      </c>
      <c r="Y16">
        <f>HYPERLINK("https://klasma.github.io/Logging_1443/tillsynsmail/A 9930-2024 tillsynsbegäran mail.docx", "A 9930-2024")</f>
        <v/>
      </c>
      <c r="Z16">
        <f>HYPERLINK("https://klasma.github.io/Logging_1443/fåglar/A 9930-2024 prioriterade fågelarter.docx", "A 9930-2024")</f>
        <v/>
      </c>
    </row>
    <row r="17" ht="15" customHeight="1">
      <c r="A17" t="inlineStr">
        <is>
          <t>A 60380-2025</t>
        </is>
      </c>
      <c r="B17" s="1" t="n">
        <v>45995</v>
      </c>
      <c r="C17" s="1" t="n">
        <v>46192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HYPERLINK("https://klasma.github.io/Logging_1443/artfynd/A 60380-2025 artfynd.xlsx", "A 60380-2025")</f>
        <v/>
      </c>
      <c r="T17">
        <f>HYPERLINK("https://klasma.github.io/Logging_1443/kartor/A 60380-2025 karta.png", "A 60380-2025")</f>
        <v/>
      </c>
      <c r="V17">
        <f>HYPERLINK("https://klasma.github.io/Logging_1443/klagomål/A 60380-2025 FSC-klagomål.docx", "A 60380-2025")</f>
        <v/>
      </c>
      <c r="W17">
        <f>HYPERLINK("https://klasma.github.io/Logging_1443/klagomålsmail/A 60380-2025 FSC-klagomål mail.docx", "A 60380-2025")</f>
        <v/>
      </c>
      <c r="X17">
        <f>HYPERLINK("https://klasma.github.io/Logging_1443/tillsyn/A 60380-2025 tillsynsbegäran.docx", "A 60380-2025")</f>
        <v/>
      </c>
      <c r="Y17">
        <f>HYPERLINK("https://klasma.github.io/Logging_1443/tillsynsmail/A 60380-2025 tillsynsbegäran mail.docx", "A 60380-2025")</f>
        <v/>
      </c>
      <c r="Z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s="1" t="n">
        <v>46184</v>
      </c>
      <c r="C18" s="1" t="n">
        <v>46192</v>
      </c>
      <c r="D18" t="inlineStr">
        <is>
          <t>VÄSTRA GÖTALANDS LÄN</t>
        </is>
      </c>
      <c r="E18" t="inlineStr">
        <is>
          <t>BOLLEBYGD</t>
        </is>
      </c>
      <c r="G18" t="n">
        <v>15.4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Tofsmes
Grönsiska</t>
        </is>
      </c>
      <c r="S18">
        <f>HYPERLINK("https://klasma.github.io/Logging_1443/artfynd/A 26670-2026 artfynd.xlsx", "A 26670-2026")</f>
        <v/>
      </c>
      <c r="T18">
        <f>HYPERLINK("https://klasma.github.io/Logging_1443/kartor/A 26670-2026 karta.png", "A 26670-2026")</f>
        <v/>
      </c>
      <c r="V18">
        <f>HYPERLINK("https://klasma.github.io/Logging_1443/klagomål/A 26670-2026 FSC-klagomål.docx", "A 26670-2026")</f>
        <v/>
      </c>
      <c r="W18">
        <f>HYPERLINK("https://klasma.github.io/Logging_1443/klagomålsmail/A 26670-2026 FSC-klagomål mail.docx", "A 26670-2026")</f>
        <v/>
      </c>
      <c r="X18">
        <f>HYPERLINK("https://klasma.github.io/Logging_1443/tillsyn/A 26670-2026 tillsynsbegäran.docx", "A 26670-2026")</f>
        <v/>
      </c>
      <c r="Y18">
        <f>HYPERLINK("https://klasma.github.io/Logging_1443/tillsynsmail/A 26670-2026 tillsynsbegäran mail.docx", "A 26670-2026")</f>
        <v/>
      </c>
      <c r="Z18">
        <f>HYPERLINK("https://klasma.github.io/Logging_1443/fåglar/A 26670-2026 prioriterade fågelarter.docx", "A 26670-2026")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46192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35491-2023</t>
        </is>
      </c>
      <c r="B20" s="1" t="n">
        <v>45146</v>
      </c>
      <c r="C20" s="1" t="n">
        <v>46192</v>
      </c>
      <c r="D20" t="inlineStr">
        <is>
          <t>VÄSTRA GÖTALANDS LÄN</t>
        </is>
      </c>
      <c r="E20" t="inlineStr">
        <is>
          <t>BOLLEBYGD</t>
        </is>
      </c>
      <c r="G20" t="n">
        <v>3.5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35491-2023 artfynd.xlsx", "A 35491-2023")</f>
        <v/>
      </c>
      <c r="T20">
        <f>HYPERLINK("https://klasma.github.io/Logging_1443/kartor/A 35491-2023 karta.png", "A 35491-2023")</f>
        <v/>
      </c>
      <c r="U20">
        <f>HYPERLINK("https://klasma.github.io/Logging_1443/knärot/A 35491-2023 karta knärot.png", "A 35491-2023")</f>
        <v/>
      </c>
      <c r="V20">
        <f>HYPERLINK("https://klasma.github.io/Logging_1443/klagomål/A 35491-2023 FSC-klagomål.docx", "A 35491-2023")</f>
        <v/>
      </c>
      <c r="W20">
        <f>HYPERLINK("https://klasma.github.io/Logging_1443/klagomålsmail/A 35491-2023 FSC-klagomål mail.docx", "A 35491-2023")</f>
        <v/>
      </c>
      <c r="X20">
        <f>HYPERLINK("https://klasma.github.io/Logging_1443/tillsyn/A 35491-2023 tillsynsbegäran.docx", "A 35491-2023")</f>
        <v/>
      </c>
      <c r="Y20">
        <f>HYPERLINK("https://klasma.github.io/Logging_1443/tillsynsmail/A 35491-2023 tillsynsbegäran mail.docx", "A 35491-2023")</f>
        <v/>
      </c>
    </row>
    <row r="21" ht="15" customHeight="1">
      <c r="A21" t="inlineStr">
        <is>
          <t>A 35526-2023</t>
        </is>
      </c>
      <c r="B21" s="1" t="n">
        <v>45147</v>
      </c>
      <c r="C21" s="1" t="n">
        <v>46192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HYPERLINK("https://klasma.github.io/Logging_1443/artfynd/A 35526-2023 artfynd.xlsx", "A 35526-2023")</f>
        <v/>
      </c>
      <c r="T21">
        <f>HYPERLINK("https://klasma.github.io/Logging_1443/kartor/A 35526-2023 karta.png", "A 35526-2023")</f>
        <v/>
      </c>
      <c r="V21">
        <f>HYPERLINK("https://klasma.github.io/Logging_1443/klagomål/A 35526-2023 FSC-klagomål.docx", "A 35526-2023")</f>
        <v/>
      </c>
      <c r="W21">
        <f>HYPERLINK("https://klasma.github.io/Logging_1443/klagomålsmail/A 35526-2023 FSC-klagomål mail.docx", "A 35526-2023")</f>
        <v/>
      </c>
      <c r="X21">
        <f>HYPERLINK("https://klasma.github.io/Logging_1443/tillsyn/A 35526-2023 tillsynsbegäran.docx", "A 35526-2023")</f>
        <v/>
      </c>
      <c r="Y21">
        <f>HYPERLINK("https://klasma.github.io/Logging_1443/tillsynsmail/A 35526-2023 tillsynsbegäran mail.docx", "A 35526-2023")</f>
        <v/>
      </c>
    </row>
    <row r="22" ht="15" customHeight="1">
      <c r="A22" t="inlineStr">
        <is>
          <t>A 30662-2023</t>
        </is>
      </c>
      <c r="B22" s="1" t="n">
        <v>45112</v>
      </c>
      <c r="C22" s="1" t="n">
        <v>46192</v>
      </c>
      <c r="D22" t="inlineStr">
        <is>
          <t>VÄSTRA GÖTALANDS LÄN</t>
        </is>
      </c>
      <c r="E22" t="inlineStr">
        <is>
          <t>BOLLEBYGD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HYPERLINK("https://klasma.github.io/Logging_1443/artfynd/A 30662-2023 artfynd.xlsx", "A 30662-2023")</f>
        <v/>
      </c>
      <c r="T22">
        <f>HYPERLINK("https://klasma.github.io/Logging_1443/kartor/A 30662-2023 karta.png", "A 30662-2023")</f>
        <v/>
      </c>
      <c r="V22">
        <f>HYPERLINK("https://klasma.github.io/Logging_1443/klagomål/A 30662-2023 FSC-klagomål.docx", "A 30662-2023")</f>
        <v/>
      </c>
      <c r="W22">
        <f>HYPERLINK("https://klasma.github.io/Logging_1443/klagomålsmail/A 30662-2023 FSC-klagomål mail.docx", "A 30662-2023")</f>
        <v/>
      </c>
      <c r="X22">
        <f>HYPERLINK("https://klasma.github.io/Logging_1443/tillsyn/A 30662-2023 tillsynsbegäran.docx", "A 30662-2023")</f>
        <v/>
      </c>
      <c r="Y22">
        <f>HYPERLINK("https://klasma.github.io/Logging_1443/tillsynsmail/A 30662-2023 tillsynsbegäran mail.docx", "A 30662-2023")</f>
        <v/>
      </c>
      <c r="Z22">
        <f>HYPERLINK("https://klasma.github.io/Logging_1443/fåglar/A 30662-2023 prioriterade fågelarter.docx", "A 30662-2023")</f>
        <v/>
      </c>
    </row>
    <row r="23" ht="15" customHeight="1">
      <c r="A23" t="inlineStr">
        <is>
          <t>A 30763-2023</t>
        </is>
      </c>
      <c r="B23" s="1" t="n">
        <v>45112</v>
      </c>
      <c r="C23" s="1" t="n">
        <v>46192</v>
      </c>
      <c r="D23" t="inlineStr">
        <is>
          <t>VÄSTRA GÖTALANDS LÄN</t>
        </is>
      </c>
      <c r="E23" t="inlineStr">
        <is>
          <t>BOLLEBYGD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30763-2023 artfynd.xlsx", "A 30763-2023")</f>
        <v/>
      </c>
      <c r="T23">
        <f>HYPERLINK("https://klasma.github.io/Logging_1443/kartor/A 30763-2023 karta.png", "A 30763-2023")</f>
        <v/>
      </c>
      <c r="V23">
        <f>HYPERLINK("https://klasma.github.io/Logging_1443/klagomål/A 30763-2023 FSC-klagomål.docx", "A 30763-2023")</f>
        <v/>
      </c>
      <c r="W23">
        <f>HYPERLINK("https://klasma.github.io/Logging_1443/klagomålsmail/A 30763-2023 FSC-klagomål mail.docx", "A 30763-2023")</f>
        <v/>
      </c>
      <c r="X23">
        <f>HYPERLINK("https://klasma.github.io/Logging_1443/tillsyn/A 30763-2023 tillsynsbegäran.docx", "A 30763-2023")</f>
        <v/>
      </c>
      <c r="Y23">
        <f>HYPERLINK("https://klasma.github.io/Logging_1443/tillsynsmail/A 30763-2023 tillsynsbegäran mail.docx", "A 30763-2023")</f>
        <v/>
      </c>
      <c r="Z23">
        <f>HYPERLINK("https://klasma.github.io/Logging_1443/fåglar/A 30763-2023 prioriterade fågelarter.docx", "A 30763-2023")</f>
        <v/>
      </c>
    </row>
    <row r="24" ht="15" customHeight="1">
      <c r="A24" t="inlineStr">
        <is>
          <t>A 31742-2023</t>
        </is>
      </c>
      <c r="B24" s="1" t="n">
        <v>45117</v>
      </c>
      <c r="C24" s="1" t="n">
        <v>46192</v>
      </c>
      <c r="D24" t="inlineStr">
        <is>
          <t>VÄSTRA GÖTALANDS LÄN</t>
        </is>
      </c>
      <c r="E24" t="inlineStr">
        <is>
          <t>BOLLEBYGD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31742-2023 artfynd.xlsx", "A 31742-2023")</f>
        <v/>
      </c>
      <c r="T24">
        <f>HYPERLINK("https://klasma.github.io/Logging_1443/kartor/A 31742-2023 karta.png", "A 31742-2023")</f>
        <v/>
      </c>
      <c r="V24">
        <f>HYPERLINK("https://klasma.github.io/Logging_1443/klagomål/A 31742-2023 FSC-klagomål.docx", "A 31742-2023")</f>
        <v/>
      </c>
      <c r="W24">
        <f>HYPERLINK("https://klasma.github.io/Logging_1443/klagomålsmail/A 31742-2023 FSC-klagomål mail.docx", "A 31742-2023")</f>
        <v/>
      </c>
      <c r="X24">
        <f>HYPERLINK("https://klasma.github.io/Logging_1443/tillsyn/A 31742-2023 tillsynsbegäran.docx", "A 31742-2023")</f>
        <v/>
      </c>
      <c r="Y24">
        <f>HYPERLINK("https://klasma.github.io/Logging_1443/tillsynsmail/A 31742-2023 tillsynsbegäran mail.docx", "A 31742-2023")</f>
        <v/>
      </c>
      <c r="Z24">
        <f>HYPERLINK("https://klasma.github.io/Logging_1443/fåglar/A 31742-2023 prioriterade fågelarter.docx", "A 31742-2023")</f>
        <v/>
      </c>
    </row>
    <row r="25" ht="15" customHeight="1">
      <c r="A25" t="inlineStr">
        <is>
          <t>A 30653-2023</t>
        </is>
      </c>
      <c r="B25" s="1" t="n">
        <v>45112</v>
      </c>
      <c r="C25" s="1" t="n">
        <v>46192</v>
      </c>
      <c r="D25" t="inlineStr">
        <is>
          <t>VÄSTRA GÖTALANDS LÄN</t>
        </is>
      </c>
      <c r="E25" t="inlineStr">
        <is>
          <t>BOLLEBYGD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HYPERLINK("https://klasma.github.io/Logging_1443/artfynd/A 30653-2023 artfynd.xlsx", "A 30653-2023")</f>
        <v/>
      </c>
      <c r="T25">
        <f>HYPERLINK("https://klasma.github.io/Logging_1443/kartor/A 30653-2023 karta.png", "A 30653-2023")</f>
        <v/>
      </c>
      <c r="V25">
        <f>HYPERLINK("https://klasma.github.io/Logging_1443/klagomål/A 30653-2023 FSC-klagomål.docx", "A 30653-2023")</f>
        <v/>
      </c>
      <c r="W25">
        <f>HYPERLINK("https://klasma.github.io/Logging_1443/klagomålsmail/A 30653-2023 FSC-klagomål mail.docx", "A 30653-2023")</f>
        <v/>
      </c>
      <c r="X25">
        <f>HYPERLINK("https://klasma.github.io/Logging_1443/tillsyn/A 30653-2023 tillsynsbegäran.docx", "A 30653-2023")</f>
        <v/>
      </c>
      <c r="Y25">
        <f>HYPERLINK("https://klasma.github.io/Logging_1443/tillsynsmail/A 30653-2023 tillsynsbegäran mail.docx", "A 30653-2023")</f>
        <v/>
      </c>
      <c r="Z25">
        <f>HYPERLINK("https://klasma.github.io/Logging_1443/fåglar/A 30653-2023 prioriterade fågelarter.docx", "A 30653-2023")</f>
        <v/>
      </c>
    </row>
    <row r="26" ht="15" customHeight="1">
      <c r="A26" t="inlineStr">
        <is>
          <t>A 32503-2025</t>
        </is>
      </c>
      <c r="B26" s="1" t="n">
        <v>45838</v>
      </c>
      <c r="C26" s="1" t="n">
        <v>46192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HYPERLINK("https://klasma.github.io/Logging_1443/artfynd/A 32503-2025 artfynd.xlsx", "A 32503-2025")</f>
        <v/>
      </c>
      <c r="T26">
        <f>HYPERLINK("https://klasma.github.io/Logging_1443/kartor/A 32503-2025 karta.png", "A 32503-2025")</f>
        <v/>
      </c>
      <c r="V26">
        <f>HYPERLINK("https://klasma.github.io/Logging_1443/klagomål/A 32503-2025 FSC-klagomål.docx", "A 32503-2025")</f>
        <v/>
      </c>
      <c r="W26">
        <f>HYPERLINK("https://klasma.github.io/Logging_1443/klagomålsmail/A 32503-2025 FSC-klagomål mail.docx", "A 32503-2025")</f>
        <v/>
      </c>
      <c r="X26">
        <f>HYPERLINK("https://klasma.github.io/Logging_1443/tillsyn/A 32503-2025 tillsynsbegäran.docx", "A 32503-2025")</f>
        <v/>
      </c>
      <c r="Y26">
        <f>HYPERLINK("https://klasma.github.io/Logging_1443/tillsynsmail/A 32503-2025 tillsynsbegäran mail.docx", "A 32503-2025")</f>
        <v/>
      </c>
    </row>
    <row r="27" ht="15" customHeight="1">
      <c r="A27" t="inlineStr">
        <is>
          <t>A 18822-2026</t>
        </is>
      </c>
      <c r="B27" s="1" t="n">
        <v>46128</v>
      </c>
      <c r="C27" s="1" t="n">
        <v>46192</v>
      </c>
      <c r="D27" t="inlineStr">
        <is>
          <t>VÄSTRA GÖTALANDS LÄN</t>
        </is>
      </c>
      <c r="E27" t="inlineStr">
        <is>
          <t>BOLLEBYGD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HYPERLINK("https://klasma.github.io/Logging_1443/artfynd/A 18822-2026 artfynd.xlsx", "A 18822-2026")</f>
        <v/>
      </c>
      <c r="T27">
        <f>HYPERLINK("https://klasma.github.io/Logging_1443/kartor/A 18822-2026 karta.png", "A 18822-2026")</f>
        <v/>
      </c>
      <c r="V27">
        <f>HYPERLINK("https://klasma.github.io/Logging_1443/klagomål/A 18822-2026 FSC-klagomål.docx", "A 18822-2026")</f>
        <v/>
      </c>
      <c r="W27">
        <f>HYPERLINK("https://klasma.github.io/Logging_1443/klagomålsmail/A 18822-2026 FSC-klagomål mail.docx", "A 18822-2026")</f>
        <v/>
      </c>
      <c r="X27">
        <f>HYPERLINK("https://klasma.github.io/Logging_1443/tillsyn/A 18822-2026 tillsynsbegäran.docx", "A 18822-2026")</f>
        <v/>
      </c>
      <c r="Y27">
        <f>HYPERLINK("https://klasma.github.io/Logging_1443/tillsynsmail/A 18822-2026 tillsynsbegäran mail.docx", "A 18822-2026")</f>
        <v/>
      </c>
    </row>
    <row r="28" ht="15" customHeight="1">
      <c r="A28" t="inlineStr">
        <is>
          <t>A 30745-2023</t>
        </is>
      </c>
      <c r="B28" s="1" t="n">
        <v>45112</v>
      </c>
      <c r="C28" s="1" t="n">
        <v>46192</v>
      </c>
      <c r="D28" t="inlineStr">
        <is>
          <t>VÄSTRA GÖTALANDS LÄN</t>
        </is>
      </c>
      <c r="E28" t="inlineStr">
        <is>
          <t>BOLLEBYGD</t>
        </is>
      </c>
      <c r="G28" t="n">
        <v>3.9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HYPERLINK("https://klasma.github.io/Logging_1443/artfynd/A 30745-2023 artfynd.xlsx", "A 30745-2023")</f>
        <v/>
      </c>
      <c r="T28">
        <f>HYPERLINK("https://klasma.github.io/Logging_1443/kartor/A 30745-2023 karta.png", "A 30745-2023")</f>
        <v/>
      </c>
      <c r="V28">
        <f>HYPERLINK("https://klasma.github.io/Logging_1443/klagomål/A 30745-2023 FSC-klagomål.docx", "A 30745-2023")</f>
        <v/>
      </c>
      <c r="W28">
        <f>HYPERLINK("https://klasma.github.io/Logging_1443/klagomålsmail/A 30745-2023 FSC-klagomål mail.docx", "A 30745-2023")</f>
        <v/>
      </c>
      <c r="X28">
        <f>HYPERLINK("https://klasma.github.io/Logging_1443/tillsyn/A 30745-2023 tillsynsbegäran.docx", "A 30745-2023")</f>
        <v/>
      </c>
      <c r="Y28">
        <f>HYPERLINK("https://klasma.github.io/Logging_1443/tillsynsmail/A 30745-2023 tillsynsbegäran mail.docx", "A 30745-2023")</f>
        <v/>
      </c>
    </row>
    <row r="29" ht="15" customHeight="1">
      <c r="A29" t="inlineStr">
        <is>
          <t>A 42877-2021</t>
        </is>
      </c>
      <c r="B29" s="1" t="n">
        <v>44431</v>
      </c>
      <c r="C29" s="1" t="n">
        <v>46192</v>
      </c>
      <c r="D29" t="inlineStr">
        <is>
          <t>VÄSTRA GÖTALANDS LÄN</t>
        </is>
      </c>
      <c r="E29" t="inlineStr">
        <is>
          <t>BOLLEBYGD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40201-2021</t>
        </is>
      </c>
      <c r="B30" s="1" t="n">
        <v>44418</v>
      </c>
      <c r="C30" s="1" t="n">
        <v>46192</v>
      </c>
      <c r="D30" t="inlineStr">
        <is>
          <t>VÄSTRA GÖTALANDS LÄN</t>
        </is>
      </c>
      <c r="E30" t="inlineStr">
        <is>
          <t>BOLLEBYGD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12367-2022</t>
        </is>
      </c>
      <c r="B31" s="1" t="n">
        <v>44637</v>
      </c>
      <c r="C31" s="1" t="n">
        <v>46192</v>
      </c>
      <c r="D31" t="inlineStr">
        <is>
          <t>VÄSTRA GÖTALANDS LÄN</t>
        </is>
      </c>
      <c r="E31" t="inlineStr">
        <is>
          <t>BOLLEBYGD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30774-2022</t>
        </is>
      </c>
      <c r="B32" s="1" t="n">
        <v>44764</v>
      </c>
      <c r="C32" s="1" t="n">
        <v>46192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</v>
      </c>
      <c r="C33" s="1" t="n">
        <v>46192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46192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46192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35089-2021</t>
        </is>
      </c>
      <c r="B36" s="1" t="n">
        <v>44383</v>
      </c>
      <c r="C36" s="1" t="n">
        <v>46192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</v>
      </c>
      <c r="C37" s="1" t="n">
        <v>46192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46192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</v>
      </c>
      <c r="C39" s="1" t="n">
        <v>46192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46192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</v>
      </c>
      <c r="C41" s="1" t="n">
        <v>46192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31546-2022</t>
        </is>
      </c>
      <c r="B42" s="1" t="n">
        <v>44775</v>
      </c>
      <c r="C42" s="1" t="n">
        <v>46192</v>
      </c>
      <c r="D42" t="inlineStr">
        <is>
          <t>VÄSTRA GÖTALANDS LÄN</t>
        </is>
      </c>
      <c r="E42" t="inlineStr">
        <is>
          <t>BOLLEBYGD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</v>
      </c>
      <c r="C43" s="1" t="n">
        <v>46192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25928-2023</t>
        </is>
      </c>
      <c r="B44" s="1" t="n">
        <v>45090</v>
      </c>
      <c r="C44" s="1" t="n">
        <v>46192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32017-2021</t>
        </is>
      </c>
      <c r="B45" s="1" t="n">
        <v>44370</v>
      </c>
      <c r="C45" s="1" t="n">
        <v>46192</v>
      </c>
      <c r="D45" t="inlineStr">
        <is>
          <t>VÄSTRA GÖTALANDS LÄN</t>
        </is>
      </c>
      <c r="E45" t="inlineStr">
        <is>
          <t>BOLLEBYGD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30633-2023</t>
        </is>
      </c>
      <c r="B46" s="1" t="n">
        <v>45112</v>
      </c>
      <c r="C46" s="1" t="n">
        <v>46192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54287-2022</t>
        </is>
      </c>
      <c r="B47" s="1" t="n">
        <v>44882</v>
      </c>
      <c r="C47" s="1" t="n">
        <v>46192</v>
      </c>
      <c r="D47" t="inlineStr">
        <is>
          <t>VÄSTRA GÖTALANDS LÄN</t>
        </is>
      </c>
      <c r="E47" t="inlineStr">
        <is>
          <t>BOLLEBYGD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15112-2022</t>
        </is>
      </c>
      <c r="B48" s="1" t="n">
        <v>44658</v>
      </c>
      <c r="C48" s="1" t="n">
        <v>46192</v>
      </c>
      <c r="D48" t="inlineStr">
        <is>
          <t>VÄSTRA GÖTALANDS LÄN</t>
        </is>
      </c>
      <c r="E48" t="inlineStr">
        <is>
          <t>BOLLEBYGD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31889-2023</t>
        </is>
      </c>
      <c r="B49" s="1" t="n">
        <v>45118</v>
      </c>
      <c r="C49" s="1" t="n">
        <v>46192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30772-2023</t>
        </is>
      </c>
      <c r="B50" s="1" t="n">
        <v>45112</v>
      </c>
      <c r="C50" s="1" t="n">
        <v>46192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4782-2024</t>
        </is>
      </c>
      <c r="B51" s="1" t="n">
        <v>45328</v>
      </c>
      <c r="C51" s="1" t="n">
        <v>46192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69413-2021</t>
        </is>
      </c>
      <c r="B52" s="1" t="n">
        <v>44531</v>
      </c>
      <c r="C52" s="1" t="n">
        <v>46192</v>
      </c>
      <c r="D52" t="inlineStr">
        <is>
          <t>VÄSTRA GÖTALANDS LÄN</t>
        </is>
      </c>
      <c r="E52" t="inlineStr">
        <is>
          <t>BOLLEBYGD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30769-2023</t>
        </is>
      </c>
      <c r="B53" s="1" t="n">
        <v>45112</v>
      </c>
      <c r="C53" s="1" t="n">
        <v>46192</v>
      </c>
      <c r="D53" t="inlineStr">
        <is>
          <t>VÄSTRA GÖTALANDS LÄN</t>
        </is>
      </c>
      <c r="E53" t="inlineStr">
        <is>
          <t>BOLLEBYGD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30794-2023</t>
        </is>
      </c>
      <c r="B54" s="1" t="n">
        <v>45112</v>
      </c>
      <c r="C54" s="1" t="n">
        <v>46192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1922-2024</t>
        </is>
      </c>
      <c r="B55" s="1" t="n">
        <v>45308</v>
      </c>
      <c r="C55" s="1" t="n">
        <v>46192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46192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46192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47279-2025</t>
        </is>
      </c>
      <c r="B58" s="1" t="n">
        <v>45930</v>
      </c>
      <c r="C58" s="1" t="n">
        <v>46192</v>
      </c>
      <c r="D58" t="inlineStr">
        <is>
          <t>VÄSTRA GÖTALANDS LÄN</t>
        </is>
      </c>
      <c r="E58" t="inlineStr">
        <is>
          <t>BOLLEBYGD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61334-2022</t>
        </is>
      </c>
      <c r="B59" s="1" t="n">
        <v>44915</v>
      </c>
      <c r="C59" s="1" t="n">
        <v>46192</v>
      </c>
      <c r="D59" t="inlineStr">
        <is>
          <t>VÄSTRA GÖTALANDS LÄN</t>
        </is>
      </c>
      <c r="E59" t="inlineStr">
        <is>
          <t>BOLLEBYGD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47522-2024</t>
        </is>
      </c>
      <c r="B60" s="1" t="n">
        <v>45587</v>
      </c>
      <c r="C60" s="1" t="n">
        <v>46192</v>
      </c>
      <c r="D60" t="inlineStr">
        <is>
          <t>VÄSTRA GÖTALANDS LÄN</t>
        </is>
      </c>
      <c r="E60" t="inlineStr">
        <is>
          <t>BOLLEBYGD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47258-2025</t>
        </is>
      </c>
      <c r="B61" s="1" t="n">
        <v>45930</v>
      </c>
      <c r="C61" s="1" t="n">
        <v>46192</v>
      </c>
      <c r="D61" t="inlineStr">
        <is>
          <t>VÄSTRA GÖTALANDS LÄN</t>
        </is>
      </c>
      <c r="E61" t="inlineStr">
        <is>
          <t>BOLLEBYGD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65143-2023</t>
        </is>
      </c>
      <c r="B62" s="1" t="n">
        <v>45288</v>
      </c>
      <c r="C62" s="1" t="n">
        <v>46192</v>
      </c>
      <c r="D62" t="inlineStr">
        <is>
          <t>VÄSTRA GÖTALANDS LÄN</t>
        </is>
      </c>
      <c r="E62" t="inlineStr">
        <is>
          <t>BOLLEBYGD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6745-2023</t>
        </is>
      </c>
      <c r="B63" s="1" t="n">
        <v>44966</v>
      </c>
      <c r="C63" s="1" t="n">
        <v>46192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48212-2025</t>
        </is>
      </c>
      <c r="B64" s="1" t="n">
        <v>45933</v>
      </c>
      <c r="C64" s="1" t="n">
        <v>46192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40774-2025</t>
        </is>
      </c>
      <c r="B65" s="1" t="n">
        <v>45897</v>
      </c>
      <c r="C65" s="1" t="n">
        <v>46192</v>
      </c>
      <c r="D65" t="inlineStr">
        <is>
          <t>VÄSTRA GÖTALANDS LÄN</t>
        </is>
      </c>
      <c r="E65" t="inlineStr">
        <is>
          <t>BOLLEBYGD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49460-2025</t>
        </is>
      </c>
      <c r="B66" s="1" t="n">
        <v>45939</v>
      </c>
      <c r="C66" s="1" t="n">
        <v>46192</v>
      </c>
      <c r="D66" t="inlineStr">
        <is>
          <t>VÄSTRA GÖTALANDS LÄN</t>
        </is>
      </c>
      <c r="E66" t="inlineStr">
        <is>
          <t>BOLLEBYGD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49269-2025</t>
        </is>
      </c>
      <c r="B67" s="1" t="n">
        <v>45938</v>
      </c>
      <c r="C67" s="1" t="n">
        <v>46192</v>
      </c>
      <c r="D67" t="inlineStr">
        <is>
          <t>VÄSTRA GÖTALANDS LÄN</t>
        </is>
      </c>
      <c r="E67" t="inlineStr">
        <is>
          <t>BOLLEBYGD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18615-2025</t>
        </is>
      </c>
      <c r="B68" s="1" t="n">
        <v>45763</v>
      </c>
      <c r="C68" s="1" t="n">
        <v>46192</v>
      </c>
      <c r="D68" t="inlineStr">
        <is>
          <t>VÄSTRA GÖTALANDS LÄN</t>
        </is>
      </c>
      <c r="E68" t="inlineStr">
        <is>
          <t>BOLLEBYGD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38074-2023</t>
        </is>
      </c>
      <c r="B69" s="1" t="n">
        <v>45160</v>
      </c>
      <c r="C69" s="1" t="n">
        <v>46192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51564-2024</t>
        </is>
      </c>
      <c r="B70" s="1" t="n">
        <v>45604</v>
      </c>
      <c r="C70" s="1" t="n">
        <v>46192</v>
      </c>
      <c r="D70" t="inlineStr">
        <is>
          <t>VÄSTRA GÖTALANDS LÄN</t>
        </is>
      </c>
      <c r="E70" t="inlineStr">
        <is>
          <t>BOLLEBYGD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51613-2025</t>
        </is>
      </c>
      <c r="B71" s="1" t="n">
        <v>45951</v>
      </c>
      <c r="C71" s="1" t="n">
        <v>46192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7046-2025</t>
        </is>
      </c>
      <c r="B72" s="1" t="n">
        <v>45701</v>
      </c>
      <c r="C72" s="1" t="n">
        <v>46192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52513-2025</t>
        </is>
      </c>
      <c r="B73" s="1" t="n">
        <v>45954</v>
      </c>
      <c r="C73" s="1" t="n">
        <v>46192</v>
      </c>
      <c r="D73" t="inlineStr">
        <is>
          <t>VÄSTRA GÖTALANDS LÄN</t>
        </is>
      </c>
      <c r="E73" t="inlineStr">
        <is>
          <t>BOLLEBYGD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52511-2025</t>
        </is>
      </c>
      <c r="B74" s="1" t="n">
        <v>45954</v>
      </c>
      <c r="C74" s="1" t="n">
        <v>46192</v>
      </c>
      <c r="D74" t="inlineStr">
        <is>
          <t>VÄSTRA GÖTALANDS LÄN</t>
        </is>
      </c>
      <c r="E74" t="inlineStr">
        <is>
          <t>BOLLEBYGD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52939-2025</t>
        </is>
      </c>
      <c r="B75" s="1" t="n">
        <v>45957</v>
      </c>
      <c r="C75" s="1" t="n">
        <v>46192</v>
      </c>
      <c r="D75" t="inlineStr">
        <is>
          <t>VÄSTRA GÖTALANDS LÄN</t>
        </is>
      </c>
      <c r="E75" t="inlineStr">
        <is>
          <t>BOLLEBYGD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30760-2023</t>
        </is>
      </c>
      <c r="B76" s="1" t="n">
        <v>45112</v>
      </c>
      <c r="C76" s="1" t="n">
        <v>46192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30762-2023</t>
        </is>
      </c>
      <c r="B77" s="1" t="n">
        <v>45112</v>
      </c>
      <c r="C77" s="1" t="n">
        <v>46192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56331-2024</t>
        </is>
      </c>
      <c r="B78" s="1" t="n">
        <v>45624</v>
      </c>
      <c r="C78" s="1" t="n">
        <v>46192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</v>
      </c>
      <c r="C79" s="1" t="n">
        <v>46192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43292-2025</t>
        </is>
      </c>
      <c r="B80" s="1" t="n">
        <v>45910</v>
      </c>
      <c r="C80" s="1" t="n">
        <v>46192</v>
      </c>
      <c r="D80" t="inlineStr">
        <is>
          <t>VÄSTRA GÖTALANDS LÄN</t>
        </is>
      </c>
      <c r="E80" t="inlineStr">
        <is>
          <t>BOLLEBYGD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51314-2023</t>
        </is>
      </c>
      <c r="B81" s="1" t="n">
        <v>45219</v>
      </c>
      <c r="C81" s="1" t="n">
        <v>46192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3238-2023</t>
        </is>
      </c>
      <c r="B82" s="1" t="n">
        <v>44946</v>
      </c>
      <c r="C82" s="1" t="n">
        <v>46192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3237-2023</t>
        </is>
      </c>
      <c r="B83" s="1" t="n">
        <v>44946</v>
      </c>
      <c r="C83" s="1" t="n">
        <v>46192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31724-2023</t>
        </is>
      </c>
      <c r="B84" s="1" t="n">
        <v>45117</v>
      </c>
      <c r="C84" s="1" t="n">
        <v>46192</v>
      </c>
      <c r="D84" t="inlineStr">
        <is>
          <t>VÄSTRA GÖTALANDS LÄN</t>
        </is>
      </c>
      <c r="E84" t="inlineStr">
        <is>
          <t>BOLLEBYGD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31726-2023</t>
        </is>
      </c>
      <c r="B85" s="1" t="n">
        <v>45117</v>
      </c>
      <c r="C85" s="1" t="n">
        <v>46192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12160-2024</t>
        </is>
      </c>
      <c r="B86" s="1" t="n">
        <v>45377</v>
      </c>
      <c r="C86" s="1" t="n">
        <v>46192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40202-2021</t>
        </is>
      </c>
      <c r="B87" s="1" t="n">
        <v>44418</v>
      </c>
      <c r="C87" s="1" t="n">
        <v>46192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54659-2022</t>
        </is>
      </c>
      <c r="B88" s="1" t="n">
        <v>44883</v>
      </c>
      <c r="C88" s="1" t="n">
        <v>46192</v>
      </c>
      <c r="D88" t="inlineStr">
        <is>
          <t>VÄSTRA GÖTALANDS LÄN</t>
        </is>
      </c>
      <c r="E88" t="inlineStr">
        <is>
          <t>BOLLEBYGD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61671-2022</t>
        </is>
      </c>
      <c r="B89" s="1" t="n">
        <v>44917</v>
      </c>
      <c r="C89" s="1" t="n">
        <v>46192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31718-2023</t>
        </is>
      </c>
      <c r="B90" s="1" t="n">
        <v>45117</v>
      </c>
      <c r="C90" s="1" t="n">
        <v>46192</v>
      </c>
      <c r="D90" t="inlineStr">
        <is>
          <t>VÄSTRA GÖTALANDS LÄN</t>
        </is>
      </c>
      <c r="E90" t="inlineStr">
        <is>
          <t>BOLLEBYGD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56334-2024</t>
        </is>
      </c>
      <c r="B91" s="1" t="n">
        <v>45624</v>
      </c>
      <c r="C91" s="1" t="n">
        <v>46192</v>
      </c>
      <c r="D91" t="inlineStr">
        <is>
          <t>VÄSTRA GÖTALANDS LÄN</t>
        </is>
      </c>
      <c r="E91" t="inlineStr">
        <is>
          <t>BOLLEBYGD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58137-2025</t>
        </is>
      </c>
      <c r="B92" s="1" t="n">
        <v>45982</v>
      </c>
      <c r="C92" s="1" t="n">
        <v>46192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43398-2024</t>
        </is>
      </c>
      <c r="B93" s="1" t="n">
        <v>45568</v>
      </c>
      <c r="C93" s="1" t="n">
        <v>46192</v>
      </c>
      <c r="D93" t="inlineStr">
        <is>
          <t>VÄSTRA GÖTALANDS LÄN</t>
        </is>
      </c>
      <c r="E93" t="inlineStr">
        <is>
          <t>BOLLEBYGD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58139-2025</t>
        </is>
      </c>
      <c r="B94" s="1" t="n">
        <v>45982</v>
      </c>
      <c r="C94" s="1" t="n">
        <v>46192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61318-2023</t>
        </is>
      </c>
      <c r="B95" s="1" t="n">
        <v>45264</v>
      </c>
      <c r="C95" s="1" t="n">
        <v>46192</v>
      </c>
      <c r="D95" t="inlineStr">
        <is>
          <t>VÄSTRA GÖTALANDS LÄN</t>
        </is>
      </c>
      <c r="E95" t="inlineStr">
        <is>
          <t>BOLLEBYGD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42483-2023</t>
        </is>
      </c>
      <c r="B96" s="1" t="n">
        <v>45180</v>
      </c>
      <c r="C96" s="1" t="n">
        <v>46192</v>
      </c>
      <c r="D96" t="inlineStr">
        <is>
          <t>VÄSTRA GÖTALANDS LÄN</t>
        </is>
      </c>
      <c r="E96" t="inlineStr">
        <is>
          <t>BOLLEBYGD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60089-2025</t>
        </is>
      </c>
      <c r="B97" s="1" t="n">
        <v>45993</v>
      </c>
      <c r="C97" s="1" t="n">
        <v>46192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60093-2025</t>
        </is>
      </c>
      <c r="B98" s="1" t="n">
        <v>45993</v>
      </c>
      <c r="C98" s="1" t="n">
        <v>46192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54311-2022</t>
        </is>
      </c>
      <c r="B99" s="1" t="n">
        <v>44882</v>
      </c>
      <c r="C99" s="1" t="n">
        <v>46192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60091-2025</t>
        </is>
      </c>
      <c r="B100" s="1" t="n">
        <v>45993</v>
      </c>
      <c r="C100" s="1" t="n">
        <v>46192</v>
      </c>
      <c r="D100" t="inlineStr">
        <is>
          <t>VÄSTRA GÖTALANDS LÄN</t>
        </is>
      </c>
      <c r="E100" t="inlineStr">
        <is>
          <t>BOLLEBYGD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60092-2025</t>
        </is>
      </c>
      <c r="B101" s="1" t="n">
        <v>45993</v>
      </c>
      <c r="C101" s="1" t="n">
        <v>46192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22443-2023</t>
        </is>
      </c>
      <c r="B102" s="1" t="n">
        <v>45070</v>
      </c>
      <c r="C102" s="1" t="n">
        <v>46192</v>
      </c>
      <c r="D102" t="inlineStr">
        <is>
          <t>VÄSTRA GÖTALANDS LÄN</t>
        </is>
      </c>
      <c r="E102" t="inlineStr">
        <is>
          <t>BOLLEBYGD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59871-2025</t>
        </is>
      </c>
      <c r="B103" s="1" t="n">
        <v>45992</v>
      </c>
      <c r="C103" s="1" t="n">
        <v>46192</v>
      </c>
      <c r="D103" t="inlineStr">
        <is>
          <t>VÄSTRA GÖTALANDS LÄN</t>
        </is>
      </c>
      <c r="E103" t="inlineStr">
        <is>
          <t>BOLLEBYGD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59872-2025</t>
        </is>
      </c>
      <c r="B104" s="1" t="n">
        <v>45992</v>
      </c>
      <c r="C104" s="1" t="n">
        <v>46192</v>
      </c>
      <c r="D104" t="inlineStr">
        <is>
          <t>VÄSTRA GÖTALANDS LÄN</t>
        </is>
      </c>
      <c r="E104" t="inlineStr">
        <is>
          <t>BOLLEBYGD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60792-2022</t>
        </is>
      </c>
      <c r="B105" s="1" t="n">
        <v>44914</v>
      </c>
      <c r="C105" s="1" t="n">
        <v>46192</v>
      </c>
      <c r="D105" t="inlineStr">
        <is>
          <t>VÄSTRA GÖTALANDS LÄN</t>
        </is>
      </c>
      <c r="E105" t="inlineStr">
        <is>
          <t>BOLLEBYGD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60181-2025</t>
        </is>
      </c>
      <c r="B106" s="1" t="n">
        <v>45994</v>
      </c>
      <c r="C106" s="1" t="n">
        <v>46192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47265-2024</t>
        </is>
      </c>
      <c r="B107" s="1" t="n">
        <v>45586</v>
      </c>
      <c r="C107" s="1" t="n">
        <v>46192</v>
      </c>
      <c r="D107" t="inlineStr">
        <is>
          <t>VÄSTRA GÖTALANDS LÄN</t>
        </is>
      </c>
      <c r="E107" t="inlineStr">
        <is>
          <t>BOLLEBYGD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60946-2025</t>
        </is>
      </c>
      <c r="B108" s="1" t="n">
        <v>45999</v>
      </c>
      <c r="C108" s="1" t="n">
        <v>46192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61026-2022</t>
        </is>
      </c>
      <c r="B109" s="1" t="n">
        <v>44914</v>
      </c>
      <c r="C109" s="1" t="n">
        <v>46192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8570-2025</t>
        </is>
      </c>
      <c r="B110" s="1" t="n">
        <v>45709</v>
      </c>
      <c r="C110" s="1" t="n">
        <v>46192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47264-2024</t>
        </is>
      </c>
      <c r="B111" s="1" t="n">
        <v>45586</v>
      </c>
      <c r="C111" s="1" t="n">
        <v>46192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5072-2023</t>
        </is>
      </c>
      <c r="B112" s="1" t="n">
        <v>44958</v>
      </c>
      <c r="C112" s="1" t="n">
        <v>46192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17925-2022</t>
        </is>
      </c>
      <c r="B113" s="1" t="n">
        <v>44683</v>
      </c>
      <c r="C113" s="1" t="n">
        <v>46192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54295-2023</t>
        </is>
      </c>
      <c r="B114" s="1" t="n">
        <v>45232</v>
      </c>
      <c r="C114" s="1" t="n">
        <v>46192</v>
      </c>
      <c r="D114" t="inlineStr">
        <is>
          <t>VÄSTRA GÖTALANDS LÄN</t>
        </is>
      </c>
      <c r="E114" t="inlineStr">
        <is>
          <t>BOLLEBYGD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22541-2023</t>
        </is>
      </c>
      <c r="B115" s="1" t="n">
        <v>45071</v>
      </c>
      <c r="C115" s="1" t="n">
        <v>46192</v>
      </c>
      <c r="D115" t="inlineStr">
        <is>
          <t>VÄSTRA GÖTALANDS LÄN</t>
        </is>
      </c>
      <c r="E115" t="inlineStr">
        <is>
          <t>BOLLEBYGD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21751-2022</t>
        </is>
      </c>
      <c r="B116" s="1" t="n">
        <v>44708</v>
      </c>
      <c r="C116" s="1" t="n">
        <v>46192</v>
      </c>
      <c r="D116" t="inlineStr">
        <is>
          <t>VÄSTRA GÖTALANDS LÄN</t>
        </is>
      </c>
      <c r="E116" t="inlineStr">
        <is>
          <t>BOLLEBYGD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1395-2024</t>
        </is>
      </c>
      <c r="B117" s="1" t="n">
        <v>45303</v>
      </c>
      <c r="C117" s="1" t="n">
        <v>46192</v>
      </c>
      <c r="D117" t="inlineStr">
        <is>
          <t>VÄSTRA GÖTALANDS LÄN</t>
        </is>
      </c>
      <c r="E117" t="inlineStr">
        <is>
          <t>BOLLEBYGD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2398-2024</t>
        </is>
      </c>
      <c r="B118" s="1" t="n">
        <v>45310</v>
      </c>
      <c r="C118" s="1" t="n">
        <v>46192</v>
      </c>
      <c r="D118" t="inlineStr">
        <is>
          <t>VÄSTRA GÖTALANDS LÄN</t>
        </is>
      </c>
      <c r="E118" t="inlineStr">
        <is>
          <t>BOLLEBYGD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47980-2023</t>
        </is>
      </c>
      <c r="B119" s="1" t="n">
        <v>45204</v>
      </c>
      <c r="C119" s="1" t="n">
        <v>46192</v>
      </c>
      <c r="D119" t="inlineStr">
        <is>
          <t>VÄSTRA GÖTALANDS LÄN</t>
        </is>
      </c>
      <c r="E119" t="inlineStr">
        <is>
          <t>BOLLEBYGD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9401-2024</t>
        </is>
      </c>
      <c r="B120" s="1" t="n">
        <v>45359</v>
      </c>
      <c r="C120" s="1" t="n">
        <v>46192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30793-2023</t>
        </is>
      </c>
      <c r="B121" s="1" t="n">
        <v>45112</v>
      </c>
      <c r="C121" s="1" t="n">
        <v>46192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30795-2023</t>
        </is>
      </c>
      <c r="B122" s="1" t="n">
        <v>45112</v>
      </c>
      <c r="C122" s="1" t="n">
        <v>46192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30800-2023</t>
        </is>
      </c>
      <c r="B123" s="1" t="n">
        <v>45112</v>
      </c>
      <c r="C123" s="1" t="n">
        <v>46192</v>
      </c>
      <c r="D123" t="inlineStr">
        <is>
          <t>VÄSTRA GÖTALANDS LÄN</t>
        </is>
      </c>
      <c r="E123" t="inlineStr">
        <is>
          <t>BOLLEBYGD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7339-2025</t>
        </is>
      </c>
      <c r="B124" s="1" t="n">
        <v>45703</v>
      </c>
      <c r="C124" s="1" t="n">
        <v>46192</v>
      </c>
      <c r="D124" t="inlineStr">
        <is>
          <t>VÄSTRA GÖTALANDS LÄN</t>
        </is>
      </c>
      <c r="E124" t="inlineStr">
        <is>
          <t>BOLLEBYGD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28040-2024</t>
        </is>
      </c>
      <c r="B125" s="1" t="n">
        <v>45476</v>
      </c>
      <c r="C125" s="1" t="n">
        <v>46192</v>
      </c>
      <c r="D125" t="inlineStr">
        <is>
          <t>VÄSTRA GÖTALANDS LÄN</t>
        </is>
      </c>
      <c r="E125" t="inlineStr">
        <is>
          <t>BOLLEBYGD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10610-2025</t>
        </is>
      </c>
      <c r="B126" s="1" t="n">
        <v>45721</v>
      </c>
      <c r="C126" s="1" t="n">
        <v>46192</v>
      </c>
      <c r="D126" t="inlineStr">
        <is>
          <t>VÄSTRA GÖTALANDS LÄN</t>
        </is>
      </c>
      <c r="E126" t="inlineStr">
        <is>
          <t>BOLLEBYGD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48513-2021</t>
        </is>
      </c>
      <c r="B127" s="1" t="n">
        <v>44449</v>
      </c>
      <c r="C127" s="1" t="n">
        <v>46192</v>
      </c>
      <c r="D127" t="inlineStr">
        <is>
          <t>VÄSTRA GÖTALANDS LÄN</t>
        </is>
      </c>
      <c r="E127" t="inlineStr">
        <is>
          <t>BOLLEBYGD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9527-2023</t>
        </is>
      </c>
      <c r="B128" s="1" t="n">
        <v>44981</v>
      </c>
      <c r="C128" s="1" t="n">
        <v>46192</v>
      </c>
      <c r="D128" t="inlineStr">
        <is>
          <t>VÄSTRA GÖTALANDS LÄN</t>
        </is>
      </c>
      <c r="E128" t="inlineStr">
        <is>
          <t>BOLLEBYGD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64003-2025</t>
        </is>
      </c>
      <c r="B129" s="1" t="n">
        <v>46021</v>
      </c>
      <c r="C129" s="1" t="n">
        <v>46192</v>
      </c>
      <c r="D129" t="inlineStr">
        <is>
          <t>VÄSTRA GÖTALANDS LÄN</t>
        </is>
      </c>
      <c r="E129" t="inlineStr">
        <is>
          <t>BOLLEBYGD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64005-2025</t>
        </is>
      </c>
      <c r="B130" s="1" t="n">
        <v>46021</v>
      </c>
      <c r="C130" s="1" t="n">
        <v>46192</v>
      </c>
      <c r="D130" t="inlineStr">
        <is>
          <t>VÄSTRA GÖTALANDS LÄN</t>
        </is>
      </c>
      <c r="E130" t="inlineStr">
        <is>
          <t>BOLLEBYGD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18337-2023</t>
        </is>
      </c>
      <c r="B131" s="1" t="n">
        <v>45041</v>
      </c>
      <c r="C131" s="1" t="n">
        <v>46192</v>
      </c>
      <c r="D131" t="inlineStr">
        <is>
          <t>VÄSTRA GÖTALANDS LÄN</t>
        </is>
      </c>
      <c r="E131" t="inlineStr">
        <is>
          <t>BOLLEBYGD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50981-2023</t>
        </is>
      </c>
      <c r="B132" s="1" t="n">
        <v>45218</v>
      </c>
      <c r="C132" s="1" t="n">
        <v>46192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11021-2022</t>
        </is>
      </c>
      <c r="B133" s="1" t="n">
        <v>44628</v>
      </c>
      <c r="C133" s="1" t="n">
        <v>46192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11239-2023</t>
        </is>
      </c>
      <c r="B134" s="1" t="n">
        <v>44992</v>
      </c>
      <c r="C134" s="1" t="n">
        <v>46192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50302-2023</t>
        </is>
      </c>
      <c r="B135" s="1" t="n">
        <v>45216</v>
      </c>
      <c r="C135" s="1" t="n">
        <v>46192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2497-2026</t>
        </is>
      </c>
      <c r="B136" s="1" t="n">
        <v>46037</v>
      </c>
      <c r="C136" s="1" t="n">
        <v>46192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31717-2023</t>
        </is>
      </c>
      <c r="B137" s="1" t="n">
        <v>45117</v>
      </c>
      <c r="C137" s="1" t="n">
        <v>46192</v>
      </c>
      <c r="D137" t="inlineStr">
        <is>
          <t>VÄSTRA GÖTALANDS LÄN</t>
        </is>
      </c>
      <c r="E137" t="inlineStr">
        <is>
          <t>BOLLEBYGD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31719-2023</t>
        </is>
      </c>
      <c r="B138" s="1" t="n">
        <v>45117</v>
      </c>
      <c r="C138" s="1" t="n">
        <v>46192</v>
      </c>
      <c r="D138" t="inlineStr">
        <is>
          <t>VÄSTRA GÖTALANDS LÄN</t>
        </is>
      </c>
      <c r="E138" t="inlineStr">
        <is>
          <t>BOLLEBYGD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31745-2023</t>
        </is>
      </c>
      <c r="B139" s="1" t="n">
        <v>45117</v>
      </c>
      <c r="C139" s="1" t="n">
        <v>46192</v>
      </c>
      <c r="D139" t="inlineStr">
        <is>
          <t>VÄSTRA GÖTALANDS LÄN</t>
        </is>
      </c>
      <c r="E139" t="inlineStr">
        <is>
          <t>BOLLEBYGD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56335-2024</t>
        </is>
      </c>
      <c r="B140" s="1" t="n">
        <v>45624</v>
      </c>
      <c r="C140" s="1" t="n">
        <v>46192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4119-2026</t>
        </is>
      </c>
      <c r="B141" s="1" t="n">
        <v>46044</v>
      </c>
      <c r="C141" s="1" t="n">
        <v>46192</v>
      </c>
      <c r="D141" t="inlineStr">
        <is>
          <t>VÄSTRA GÖTALANDS LÄN</t>
        </is>
      </c>
      <c r="E141" t="inlineStr">
        <is>
          <t>BOLLEBYGD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30801-2023</t>
        </is>
      </c>
      <c r="B142" s="1" t="n">
        <v>45112</v>
      </c>
      <c r="C142" s="1" t="n">
        <v>46192</v>
      </c>
      <c r="D142" t="inlineStr">
        <is>
          <t>VÄSTRA GÖTALANDS LÄN</t>
        </is>
      </c>
      <c r="E142" t="inlineStr">
        <is>
          <t>BOLLEBYGD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59472-2023</t>
        </is>
      </c>
      <c r="B143" s="1" t="n">
        <v>45254</v>
      </c>
      <c r="C143" s="1" t="n">
        <v>46192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4587-2026</t>
        </is>
      </c>
      <c r="B144" s="1" t="n">
        <v>46048</v>
      </c>
      <c r="C144" s="1" t="n">
        <v>46192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4588-2026</t>
        </is>
      </c>
      <c r="B145" s="1" t="n">
        <v>46048</v>
      </c>
      <c r="C145" s="1" t="n">
        <v>46192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9530-2023</t>
        </is>
      </c>
      <c r="B146" s="1" t="n">
        <v>44981</v>
      </c>
      <c r="C146" s="1" t="n">
        <v>46192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70708-2021</t>
        </is>
      </c>
      <c r="B147" s="1" t="n">
        <v>44537</v>
      </c>
      <c r="C147" s="1" t="n">
        <v>46192</v>
      </c>
      <c r="D147" t="inlineStr">
        <is>
          <t>VÄSTRA GÖTALANDS LÄN</t>
        </is>
      </c>
      <c r="E147" t="inlineStr">
        <is>
          <t>BOLLEBYGD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31712-2023</t>
        </is>
      </c>
      <c r="B148" s="1" t="n">
        <v>45117</v>
      </c>
      <c r="C148" s="1" t="n">
        <v>46192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31715-2023</t>
        </is>
      </c>
      <c r="B149" s="1" t="n">
        <v>45117</v>
      </c>
      <c r="C149" s="1" t="n">
        <v>46192</v>
      </c>
      <c r="D149" t="inlineStr">
        <is>
          <t>VÄSTRA GÖTALANDS LÄN</t>
        </is>
      </c>
      <c r="E149" t="inlineStr">
        <is>
          <t>BOLLEBYGD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6071-2026</t>
        </is>
      </c>
      <c r="B150" s="1" t="n">
        <v>46052</v>
      </c>
      <c r="C150" s="1" t="n">
        <v>46192</v>
      </c>
      <c r="D150" t="inlineStr">
        <is>
          <t>VÄSTRA GÖTALANDS LÄN</t>
        </is>
      </c>
      <c r="E150" t="inlineStr">
        <is>
          <t>BOLLEBYGD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6074-2026</t>
        </is>
      </c>
      <c r="B151" s="1" t="n">
        <v>46052</v>
      </c>
      <c r="C151" s="1" t="n">
        <v>46192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6104-2026</t>
        </is>
      </c>
      <c r="B152" s="1" t="n">
        <v>46052</v>
      </c>
      <c r="C152" s="1" t="n">
        <v>46192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6103-2026</t>
        </is>
      </c>
      <c r="B153" s="1" t="n">
        <v>46052</v>
      </c>
      <c r="C153" s="1" t="n">
        <v>46192</v>
      </c>
      <c r="D153" t="inlineStr">
        <is>
          <t>VÄSTRA GÖTALANDS LÄN</t>
        </is>
      </c>
      <c r="E153" t="inlineStr">
        <is>
          <t>BOLLEBYGD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59517-2023</t>
        </is>
      </c>
      <c r="B154" s="1" t="n">
        <v>45254</v>
      </c>
      <c r="C154" s="1" t="n">
        <v>46192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30724-2023</t>
        </is>
      </c>
      <c r="B155" s="1" t="n">
        <v>45112</v>
      </c>
      <c r="C155" s="1" t="n">
        <v>46192</v>
      </c>
      <c r="D155" t="inlineStr">
        <is>
          <t>VÄSTRA GÖTALANDS LÄN</t>
        </is>
      </c>
      <c r="E155" t="inlineStr">
        <is>
          <t>BOLLEBYGD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7546-2026</t>
        </is>
      </c>
      <c r="B156" s="1" t="n">
        <v>46059</v>
      </c>
      <c r="C156" s="1" t="n">
        <v>46192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30628-2023</t>
        </is>
      </c>
      <c r="B157" s="1" t="n">
        <v>45112</v>
      </c>
      <c r="C157" s="1" t="n">
        <v>46192</v>
      </c>
      <c r="D157" t="inlineStr">
        <is>
          <t>VÄSTRA GÖTALANDS LÄN</t>
        </is>
      </c>
      <c r="E157" t="inlineStr">
        <is>
          <t>BOLLEBYGD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30643-2023</t>
        </is>
      </c>
      <c r="B158" s="1" t="n">
        <v>45112</v>
      </c>
      <c r="C158" s="1" t="n">
        <v>46192</v>
      </c>
      <c r="D158" t="inlineStr">
        <is>
          <t>VÄSTRA GÖTALANDS LÄN</t>
        </is>
      </c>
      <c r="E158" t="inlineStr">
        <is>
          <t>BOLLEBYGD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48354-2024</t>
        </is>
      </c>
      <c r="B159" s="1" t="n">
        <v>45590</v>
      </c>
      <c r="C159" s="1" t="n">
        <v>46192</v>
      </c>
      <c r="D159" t="inlineStr">
        <is>
          <t>VÄSTRA GÖTALANDS LÄN</t>
        </is>
      </c>
      <c r="E159" t="inlineStr">
        <is>
          <t>BOLLEBYGD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22834-2024</t>
        </is>
      </c>
      <c r="B160" s="1" t="n">
        <v>45448</v>
      </c>
      <c r="C160" s="1" t="n">
        <v>46192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41910-2024</t>
        </is>
      </c>
      <c r="B161" s="1" t="n">
        <v>45561</v>
      </c>
      <c r="C161" s="1" t="n">
        <v>46192</v>
      </c>
      <c r="D161" t="inlineStr">
        <is>
          <t>VÄSTRA GÖTALANDS LÄN</t>
        </is>
      </c>
      <c r="E161" t="inlineStr">
        <is>
          <t>BOLLEBYGD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67455-2021</t>
        </is>
      </c>
      <c r="B162" s="1" t="n">
        <v>44524</v>
      </c>
      <c r="C162" s="1" t="n">
        <v>46192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57443-2024</t>
        </is>
      </c>
      <c r="B163" s="1" t="n">
        <v>45629</v>
      </c>
      <c r="C163" s="1" t="n">
        <v>46192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23330-2024</t>
        </is>
      </c>
      <c r="B164" s="1" t="n">
        <v>45453</v>
      </c>
      <c r="C164" s="1" t="n">
        <v>46192</v>
      </c>
      <c r="D164" t="inlineStr">
        <is>
          <t>VÄSTRA GÖTALANDS LÄN</t>
        </is>
      </c>
      <c r="E164" t="inlineStr">
        <is>
          <t>BOLLEBYGD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18305-2025</t>
        </is>
      </c>
      <c r="B165" s="1" t="n">
        <v>45762</v>
      </c>
      <c r="C165" s="1" t="n">
        <v>46192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58093-2023</t>
        </is>
      </c>
      <c r="B166" s="1" t="n">
        <v>45248</v>
      </c>
      <c r="C166" s="1" t="n">
        <v>46192</v>
      </c>
      <c r="D166" t="inlineStr">
        <is>
          <t>VÄSTRA GÖTALANDS LÄN</t>
        </is>
      </c>
      <c r="E166" t="inlineStr">
        <is>
          <t>BOLLEBYGD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9920-2026</t>
        </is>
      </c>
      <c r="B167" s="1" t="n">
        <v>46073</v>
      </c>
      <c r="C167" s="1" t="n">
        <v>46192</v>
      </c>
      <c r="D167" t="inlineStr">
        <is>
          <t>VÄSTRA GÖTALANDS LÄN</t>
        </is>
      </c>
      <c r="E167" t="inlineStr">
        <is>
          <t>BOLLEBYGD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54144-2022</t>
        </is>
      </c>
      <c r="B168" s="1" t="n">
        <v>44881</v>
      </c>
      <c r="C168" s="1" t="n">
        <v>46192</v>
      </c>
      <c r="D168" t="inlineStr">
        <is>
          <t>VÄSTRA GÖTALANDS LÄN</t>
        </is>
      </c>
      <c r="E168" t="inlineStr">
        <is>
          <t>BOLLEBYGD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23906-2024</t>
        </is>
      </c>
      <c r="B169" s="1" t="n">
        <v>45455</v>
      </c>
      <c r="C169" s="1" t="n">
        <v>46192</v>
      </c>
      <c r="D169" t="inlineStr">
        <is>
          <t>VÄSTRA GÖTALANDS LÄN</t>
        </is>
      </c>
      <c r="E169" t="inlineStr">
        <is>
          <t>BOLLEBYGD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50057-2023</t>
        </is>
      </c>
      <c r="B170" s="1" t="n">
        <v>45215</v>
      </c>
      <c r="C170" s="1" t="n">
        <v>46192</v>
      </c>
      <c r="D170" t="inlineStr">
        <is>
          <t>VÄSTRA GÖTALANDS LÄN</t>
        </is>
      </c>
      <c r="E170" t="inlineStr">
        <is>
          <t>BOLLEBYGD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46511-2023</t>
        </is>
      </c>
      <c r="B171" s="1" t="n">
        <v>45197</v>
      </c>
      <c r="C171" s="1" t="n">
        <v>46192</v>
      </c>
      <c r="D171" t="inlineStr">
        <is>
          <t>VÄSTRA GÖTALANDS LÄN</t>
        </is>
      </c>
      <c r="E171" t="inlineStr">
        <is>
          <t>BOLLEBYGD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23907-2024</t>
        </is>
      </c>
      <c r="B172" s="1" t="n">
        <v>45455</v>
      </c>
      <c r="C172" s="1" t="n">
        <v>46192</v>
      </c>
      <c r="D172" t="inlineStr">
        <is>
          <t>VÄSTRA GÖTALANDS LÄN</t>
        </is>
      </c>
      <c r="E172" t="inlineStr">
        <is>
          <t>BOLLEBYGD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21878-2025</t>
        </is>
      </c>
      <c r="B173" s="1" t="n">
        <v>45784</v>
      </c>
      <c r="C173" s="1" t="n">
        <v>46192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17434-2026</t>
        </is>
      </c>
      <c r="B174" s="1" t="n">
        <v>46120</v>
      </c>
      <c r="C174" s="1" t="n">
        <v>46192</v>
      </c>
      <c r="D174" t="inlineStr">
        <is>
          <t>VÄSTRA GÖTALANDS LÄN</t>
        </is>
      </c>
      <c r="E174" t="inlineStr">
        <is>
          <t>BOLLEBYGD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11584-2026</t>
        </is>
      </c>
      <c r="B175" s="1" t="n">
        <v>46084</v>
      </c>
      <c r="C175" s="1" t="n">
        <v>46192</v>
      </c>
      <c r="D175" t="inlineStr">
        <is>
          <t>VÄSTRA GÖTALANDS LÄN</t>
        </is>
      </c>
      <c r="E175" t="inlineStr">
        <is>
          <t>BOLLEBYGD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43938-2024</t>
        </is>
      </c>
      <c r="B176" s="1" t="n">
        <v>45572</v>
      </c>
      <c r="C176" s="1" t="n">
        <v>46192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12503-2026</t>
        </is>
      </c>
      <c r="B177" s="1" t="n">
        <v>46090</v>
      </c>
      <c r="C177" s="1" t="n">
        <v>46192</v>
      </c>
      <c r="D177" t="inlineStr">
        <is>
          <t>VÄSTRA GÖTALANDS LÄN</t>
        </is>
      </c>
      <c r="E177" t="inlineStr">
        <is>
          <t>BOLLEBYGD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12469-2026</t>
        </is>
      </c>
      <c r="B178" s="1" t="n">
        <v>46090</v>
      </c>
      <c r="C178" s="1" t="n">
        <v>46192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6653-2022</t>
        </is>
      </c>
      <c r="B179" s="1" t="n">
        <v>44602</v>
      </c>
      <c r="C179" s="1" t="n">
        <v>46192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64207-2021</t>
        </is>
      </c>
      <c r="B180" s="1" t="n">
        <v>44510</v>
      </c>
      <c r="C180" s="1" t="n">
        <v>46192</v>
      </c>
      <c r="D180" t="inlineStr">
        <is>
          <t>VÄSTRA GÖTALANDS LÄN</t>
        </is>
      </c>
      <c r="E180" t="inlineStr">
        <is>
          <t>BOLLEBYGD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12879-2026</t>
        </is>
      </c>
      <c r="B181" s="1" t="n">
        <v>46092</v>
      </c>
      <c r="C181" s="1" t="n">
        <v>46192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2006-2024</t>
        </is>
      </c>
      <c r="B182" s="1" t="n">
        <v>45308</v>
      </c>
      <c r="C182" s="1" t="n">
        <v>46192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24368-2022</t>
        </is>
      </c>
      <c r="B183" s="1" t="n">
        <v>44726</v>
      </c>
      <c r="C183" s="1" t="n">
        <v>46192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13120-2026</t>
        </is>
      </c>
      <c r="B184" s="1" t="n">
        <v>46093</v>
      </c>
      <c r="C184" s="1" t="n">
        <v>46192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54783-2025</t>
        </is>
      </c>
      <c r="B185" s="1" t="n">
        <v>45966</v>
      </c>
      <c r="C185" s="1" t="n">
        <v>46192</v>
      </c>
      <c r="D185" t="inlineStr">
        <is>
          <t>VÄSTRA GÖTALANDS LÄN</t>
        </is>
      </c>
      <c r="E185" t="inlineStr">
        <is>
          <t>BOLLEBYGD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13121-2026</t>
        </is>
      </c>
      <c r="B186" s="1" t="n">
        <v>46093</v>
      </c>
      <c r="C186" s="1" t="n">
        <v>46192</v>
      </c>
      <c r="D186" t="inlineStr">
        <is>
          <t>VÄSTRA GÖTALANDS LÄN</t>
        </is>
      </c>
      <c r="E186" t="inlineStr">
        <is>
          <t>BOLLEBYGD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59493-2025</t>
        </is>
      </c>
      <c r="B187" s="1" t="n">
        <v>45989</v>
      </c>
      <c r="C187" s="1" t="n">
        <v>46192</v>
      </c>
      <c r="D187" t="inlineStr">
        <is>
          <t>VÄSTRA GÖTALANDS LÄN</t>
        </is>
      </c>
      <c r="E187" t="inlineStr">
        <is>
          <t>BOLLEBYGD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27103-2024</t>
        </is>
      </c>
      <c r="B188" s="1" t="n">
        <v>45471</v>
      </c>
      <c r="C188" s="1" t="n">
        <v>46192</v>
      </c>
      <c r="D188" t="inlineStr">
        <is>
          <t>VÄSTRA GÖTALANDS LÄN</t>
        </is>
      </c>
      <c r="E188" t="inlineStr">
        <is>
          <t>BOLLEBYGD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58011-2022</t>
        </is>
      </c>
      <c r="B189" s="1" t="n">
        <v>44900</v>
      </c>
      <c r="C189" s="1" t="n">
        <v>46192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56452-2022</t>
        </is>
      </c>
      <c r="B190" s="1" t="n">
        <v>44893</v>
      </c>
      <c r="C190" s="1" t="n">
        <v>46192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14111-2026</t>
        </is>
      </c>
      <c r="B191" s="1" t="n">
        <v>46099</v>
      </c>
      <c r="C191" s="1" t="n">
        <v>46192</v>
      </c>
      <c r="D191" t="inlineStr">
        <is>
          <t>VÄSTRA GÖTALANDS LÄN</t>
        </is>
      </c>
      <c r="E191" t="inlineStr">
        <is>
          <t>BOLLEBYGD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55159-2024</t>
        </is>
      </c>
      <c r="B192" s="1" t="n">
        <v>45621</v>
      </c>
      <c r="C192" s="1" t="n">
        <v>46192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58010-2022</t>
        </is>
      </c>
      <c r="B193" s="1" t="n">
        <v>44900</v>
      </c>
      <c r="C193" s="1" t="n">
        <v>46192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14545-2026</t>
        </is>
      </c>
      <c r="B194" s="1" t="n">
        <v>46100</v>
      </c>
      <c r="C194" s="1" t="n">
        <v>46192</v>
      </c>
      <c r="D194" t="inlineStr">
        <is>
          <t>VÄSTRA GÖTALANDS LÄN</t>
        </is>
      </c>
      <c r="E194" t="inlineStr">
        <is>
          <t>BOLLEBYGD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38586-2023</t>
        </is>
      </c>
      <c r="B195" s="1" t="n">
        <v>45162</v>
      </c>
      <c r="C195" s="1" t="n">
        <v>46192</v>
      </c>
      <c r="D195" t="inlineStr">
        <is>
          <t>VÄSTRA GÖTALANDS LÄN</t>
        </is>
      </c>
      <c r="E195" t="inlineStr">
        <is>
          <t>BOLLEBYGD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9159-2024</t>
        </is>
      </c>
      <c r="B196" s="1" t="n">
        <v>45358</v>
      </c>
      <c r="C196" s="1" t="n">
        <v>46192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31746-2023</t>
        </is>
      </c>
      <c r="B197" s="1" t="n">
        <v>45117</v>
      </c>
      <c r="C197" s="1" t="n">
        <v>46192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63725-2023</t>
        </is>
      </c>
      <c r="B198" s="1" t="n">
        <v>45276</v>
      </c>
      <c r="C198" s="1" t="n">
        <v>46192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59613-2023</t>
        </is>
      </c>
      <c r="B199" s="1" t="n">
        <v>45254</v>
      </c>
      <c r="C199" s="1" t="n">
        <v>46192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9086-2025</t>
        </is>
      </c>
      <c r="B200" s="1" t="n">
        <v>45713</v>
      </c>
      <c r="C200" s="1" t="n">
        <v>46192</v>
      </c>
      <c r="D200" t="inlineStr">
        <is>
          <t>VÄSTRA GÖTALANDS LÄN</t>
        </is>
      </c>
      <c r="E200" t="inlineStr">
        <is>
          <t>BOLLEBYGD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62986-2023</t>
        </is>
      </c>
      <c r="B201" s="1" t="n">
        <v>45272</v>
      </c>
      <c r="C201" s="1" t="n">
        <v>46192</v>
      </c>
      <c r="D201" t="inlineStr">
        <is>
          <t>VÄSTRA GÖTALANDS LÄN</t>
        </is>
      </c>
      <c r="E201" t="inlineStr">
        <is>
          <t>BOLLEBYGD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59816-2021</t>
        </is>
      </c>
      <c r="B202" s="1" t="n">
        <v>44494</v>
      </c>
      <c r="C202" s="1" t="n">
        <v>46192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30650-2023</t>
        </is>
      </c>
      <c r="B203" s="1" t="n">
        <v>45112</v>
      </c>
      <c r="C203" s="1" t="n">
        <v>46192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28073-2024</t>
        </is>
      </c>
      <c r="B204" s="1" t="n">
        <v>45476</v>
      </c>
      <c r="C204" s="1" t="n">
        <v>46192</v>
      </c>
      <c r="D204" t="inlineStr">
        <is>
          <t>VÄSTRA GÖTALANDS LÄN</t>
        </is>
      </c>
      <c r="E204" t="inlineStr">
        <is>
          <t>BOLLEBYGD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30637-2023</t>
        </is>
      </c>
      <c r="B205" s="1" t="n">
        <v>45112</v>
      </c>
      <c r="C205" s="1" t="n">
        <v>46192</v>
      </c>
      <c r="D205" t="inlineStr">
        <is>
          <t>VÄSTRA GÖTALANDS LÄN</t>
        </is>
      </c>
      <c r="E205" t="inlineStr">
        <is>
          <t>BOLLEBYGD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29794-2025</t>
        </is>
      </c>
      <c r="B206" s="1" t="n">
        <v>45825</v>
      </c>
      <c r="C206" s="1" t="n">
        <v>46192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10918-2025</t>
        </is>
      </c>
      <c r="B207" s="1" t="n">
        <v>45722</v>
      </c>
      <c r="C207" s="1" t="n">
        <v>46192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9471-2025</t>
        </is>
      </c>
      <c r="B208" s="1" t="n">
        <v>45715</v>
      </c>
      <c r="C208" s="1" t="n">
        <v>46192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65118-2023</t>
        </is>
      </c>
      <c r="B209" s="1" t="n">
        <v>45288</v>
      </c>
      <c r="C209" s="1" t="n">
        <v>46192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18613-2025</t>
        </is>
      </c>
      <c r="B210" s="1" t="n">
        <v>45763</v>
      </c>
      <c r="C210" s="1" t="n">
        <v>46192</v>
      </c>
      <c r="D210" t="inlineStr">
        <is>
          <t>VÄSTRA GÖTALANDS LÄN</t>
        </is>
      </c>
      <c r="E210" t="inlineStr">
        <is>
          <t>BOLLEBYGD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18614-2025</t>
        </is>
      </c>
      <c r="B211" s="1" t="n">
        <v>45763</v>
      </c>
      <c r="C211" s="1" t="n">
        <v>46192</v>
      </c>
      <c r="D211" t="inlineStr">
        <is>
          <t>VÄSTRA GÖTALANDS LÄN</t>
        </is>
      </c>
      <c r="E211" t="inlineStr">
        <is>
          <t>BOLLEBYGD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31804-2025</t>
        </is>
      </c>
      <c r="B212" s="1" t="n">
        <v>45834</v>
      </c>
      <c r="C212" s="1" t="n">
        <v>46192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54289-2022</t>
        </is>
      </c>
      <c r="B213" s="1" t="n">
        <v>44882</v>
      </c>
      <c r="C213" s="1" t="n">
        <v>46192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32320-2025</t>
        </is>
      </c>
      <c r="B214" s="1" t="n">
        <v>45836</v>
      </c>
      <c r="C214" s="1" t="n">
        <v>46192</v>
      </c>
      <c r="D214" t="inlineStr">
        <is>
          <t>VÄSTRA GÖTALANDS LÄN</t>
        </is>
      </c>
      <c r="E214" t="inlineStr">
        <is>
          <t>BOLLEBYGD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32506-2025</t>
        </is>
      </c>
      <c r="B215" s="1" t="n">
        <v>45838</v>
      </c>
      <c r="C215" s="1" t="n">
        <v>46192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42250-2023</t>
        </is>
      </c>
      <c r="B216" s="1" t="n">
        <v>45180</v>
      </c>
      <c r="C216" s="1" t="n">
        <v>46192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42256-2023</t>
        </is>
      </c>
      <c r="B217" s="1" t="n">
        <v>45180</v>
      </c>
      <c r="C217" s="1" t="n">
        <v>46192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1921-2024</t>
        </is>
      </c>
      <c r="B218" s="1" t="n">
        <v>45308</v>
      </c>
      <c r="C218" s="1" t="n">
        <v>46192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11981-2025</t>
        </is>
      </c>
      <c r="B219" s="1" t="n">
        <v>45728</v>
      </c>
      <c r="C219" s="1" t="n">
        <v>46192</v>
      </c>
      <c r="D219" t="inlineStr">
        <is>
          <t>VÄSTRA GÖTALANDS LÄN</t>
        </is>
      </c>
      <c r="E219" t="inlineStr">
        <is>
          <t>BOLLEBYGD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24965-2026</t>
        </is>
      </c>
      <c r="B220" s="1" t="n">
        <v>46174</v>
      </c>
      <c r="C220" s="1" t="n">
        <v>46192</v>
      </c>
      <c r="D220" t="inlineStr">
        <is>
          <t>VÄSTRA GÖTALANDS LÄN</t>
        </is>
      </c>
      <c r="E220" t="inlineStr">
        <is>
          <t>BOLLEBYGD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28158-2024</t>
        </is>
      </c>
      <c r="B221" s="1" t="n">
        <v>45476</v>
      </c>
      <c r="C221" s="1" t="n">
        <v>46192</v>
      </c>
      <c r="D221" t="inlineStr">
        <is>
          <t>VÄSTRA GÖTALANDS LÄN</t>
        </is>
      </c>
      <c r="E221" t="inlineStr">
        <is>
          <t>BOLLEBYGD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435-2025</t>
        </is>
      </c>
      <c r="B222" s="1" t="n">
        <v>45664</v>
      </c>
      <c r="C222" s="1" t="n">
        <v>46192</v>
      </c>
      <c r="D222" t="inlineStr">
        <is>
          <t>VÄSTRA GÖTALANDS LÄN</t>
        </is>
      </c>
      <c r="E222" t="inlineStr">
        <is>
          <t>BOLLEBYGD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36650-2025</t>
        </is>
      </c>
      <c r="B223" s="1" t="n">
        <v>45872</v>
      </c>
      <c r="C223" s="1" t="n">
        <v>46192</v>
      </c>
      <c r="D223" t="inlineStr">
        <is>
          <t>VÄSTRA GÖTALANDS LÄN</t>
        </is>
      </c>
      <c r="E223" t="inlineStr">
        <is>
          <t>BOLLEBYGD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31711-2023</t>
        </is>
      </c>
      <c r="B224" s="1" t="n">
        <v>45117</v>
      </c>
      <c r="C224" s="1" t="n">
        <v>46192</v>
      </c>
      <c r="D224" t="inlineStr">
        <is>
          <t>VÄSTRA GÖTALANDS LÄN</t>
        </is>
      </c>
      <c r="E224" t="inlineStr">
        <is>
          <t>BOLLEBYGD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31727-2023</t>
        </is>
      </c>
      <c r="B225" s="1" t="n">
        <v>45117</v>
      </c>
      <c r="C225" s="1" t="n">
        <v>46192</v>
      </c>
      <c r="D225" t="inlineStr">
        <is>
          <t>VÄSTRA GÖTALANDS LÄN</t>
        </is>
      </c>
      <c r="E225" t="inlineStr">
        <is>
          <t>BOLLEBYGD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12124-2024</t>
        </is>
      </c>
      <c r="B226" s="1" t="n">
        <v>45377</v>
      </c>
      <c r="C226" s="1" t="n">
        <v>46192</v>
      </c>
      <c r="D226" t="inlineStr">
        <is>
          <t>VÄSTRA GÖTALANDS LÄN</t>
        </is>
      </c>
      <c r="E226" t="inlineStr">
        <is>
          <t>BOLLEBYGD</t>
        </is>
      </c>
      <c r="F226" t="inlineStr">
        <is>
          <t>Kommuner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11605-2024</t>
        </is>
      </c>
      <c r="B227" s="1" t="n">
        <v>45373</v>
      </c>
      <c r="C227" s="1" t="n">
        <v>46192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19644-2026</t>
        </is>
      </c>
      <c r="B228" s="1" t="n">
        <v>46134</v>
      </c>
      <c r="C228" s="1" t="n">
        <v>46192</v>
      </c>
      <c r="D228" t="inlineStr">
        <is>
          <t>VÄSTRA GÖTALANDS LÄN</t>
        </is>
      </c>
      <c r="E228" t="inlineStr">
        <is>
          <t>BOLLEBYGD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53055-2024</t>
        </is>
      </c>
      <c r="B229" s="1" t="n">
        <v>45611</v>
      </c>
      <c r="C229" s="1" t="n">
        <v>46192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29658-2022</t>
        </is>
      </c>
      <c r="B230" s="1" t="n">
        <v>44754</v>
      </c>
      <c r="C230" s="1" t="n">
        <v>46192</v>
      </c>
      <c r="D230" t="inlineStr">
        <is>
          <t>VÄSTRA GÖTALANDS LÄN</t>
        </is>
      </c>
      <c r="E230" t="inlineStr">
        <is>
          <t>BOLLEBYGD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6064-2025</t>
        </is>
      </c>
      <c r="B231" s="1" t="n">
        <v>45696</v>
      </c>
      <c r="C231" s="1" t="n">
        <v>46192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57036-2024</t>
        </is>
      </c>
      <c r="B232" s="1" t="n">
        <v>45629</v>
      </c>
      <c r="C232" s="1" t="n">
        <v>46192</v>
      </c>
      <c r="D232" t="inlineStr">
        <is>
          <t>VÄSTRA GÖTALANDS LÄN</t>
        </is>
      </c>
      <c r="E232" t="inlineStr">
        <is>
          <t>BOLLEBYGD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52371-2025</t>
        </is>
      </c>
      <c r="B233" s="1" t="n">
        <v>45953</v>
      </c>
      <c r="C233" s="1" t="n">
        <v>46192</v>
      </c>
      <c r="D233" t="inlineStr">
        <is>
          <t>VÄSTRA GÖTALANDS LÄN</t>
        </is>
      </c>
      <c r="E233" t="inlineStr">
        <is>
          <t>BOLLEBYGD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56305-2025</t>
        </is>
      </c>
      <c r="B234" s="1" t="n">
        <v>45974</v>
      </c>
      <c r="C234" s="1" t="n">
        <v>46192</v>
      </c>
      <c r="D234" t="inlineStr">
        <is>
          <t>VÄSTRA GÖTALANDS LÄN</t>
        </is>
      </c>
      <c r="E234" t="inlineStr">
        <is>
          <t>BOLLEBYGD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36131-2024</t>
        </is>
      </c>
      <c r="B235" s="1" t="n">
        <v>45534</v>
      </c>
      <c r="C235" s="1" t="n">
        <v>46192</v>
      </c>
      <c r="D235" t="inlineStr">
        <is>
          <t>VÄSTRA GÖTALANDS LÄN</t>
        </is>
      </c>
      <c r="E235" t="inlineStr">
        <is>
          <t>BOLLEBYGD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36532-2024</t>
        </is>
      </c>
      <c r="B236" s="1" t="n">
        <v>45537</v>
      </c>
      <c r="C236" s="1" t="n">
        <v>46192</v>
      </c>
      <c r="D236" t="inlineStr">
        <is>
          <t>VÄSTRA GÖTALANDS LÄN</t>
        </is>
      </c>
      <c r="E236" t="inlineStr">
        <is>
          <t>BOLLEBYGD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25694-2025</t>
        </is>
      </c>
      <c r="B237" s="1" t="n">
        <v>45803</v>
      </c>
      <c r="C237" s="1" t="n">
        <v>46192</v>
      </c>
      <c r="D237" t="inlineStr">
        <is>
          <t>VÄSTRA GÖTALANDS LÄN</t>
        </is>
      </c>
      <c r="E237" t="inlineStr">
        <is>
          <t>BOLLEBYGD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42157-2021</t>
        </is>
      </c>
      <c r="B238" s="1" t="n">
        <v>44426</v>
      </c>
      <c r="C238" s="1" t="n">
        <v>46192</v>
      </c>
      <c r="D238" t="inlineStr">
        <is>
          <t>VÄSTRA GÖTALANDS LÄN</t>
        </is>
      </c>
      <c r="E238" t="inlineStr">
        <is>
          <t>BOLLEBYGD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20598-2026</t>
        </is>
      </c>
      <c r="B239" s="1" t="n">
        <v>46140</v>
      </c>
      <c r="C239" s="1" t="n">
        <v>46192</v>
      </c>
      <c r="D239" t="inlineStr">
        <is>
          <t>VÄSTRA GÖTALANDS LÄN</t>
        </is>
      </c>
      <c r="E239" t="inlineStr">
        <is>
          <t>BOLLEBYGD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20600-2026</t>
        </is>
      </c>
      <c r="B240" s="1" t="n">
        <v>46140</v>
      </c>
      <c r="C240" s="1" t="n">
        <v>46192</v>
      </c>
      <c r="D240" t="inlineStr">
        <is>
          <t>VÄSTRA GÖTALANDS LÄN</t>
        </is>
      </c>
      <c r="E240" t="inlineStr">
        <is>
          <t>BOLLEBYGD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20782-2026</t>
        </is>
      </c>
      <c r="B241" s="1" t="n">
        <v>46141</v>
      </c>
      <c r="C241" s="1" t="n">
        <v>46192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26642-2026</t>
        </is>
      </c>
      <c r="B242" s="1" t="n">
        <v>46184</v>
      </c>
      <c r="C242" s="1" t="n">
        <v>46192</v>
      </c>
      <c r="D242" t="inlineStr">
        <is>
          <t>VÄSTRA GÖTALANDS LÄN</t>
        </is>
      </c>
      <c r="E242" t="inlineStr">
        <is>
          <t>BOLLEBYGD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27098-2026</t>
        </is>
      </c>
      <c r="B243" s="1" t="n">
        <v>46188</v>
      </c>
      <c r="C243" s="1" t="n">
        <v>46192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27248-2026</t>
        </is>
      </c>
      <c r="B244" s="1" t="n">
        <v>46188</v>
      </c>
      <c r="C244" s="1" t="n">
        <v>46192</v>
      </c>
      <c r="D244" t="inlineStr">
        <is>
          <t>VÄSTRA GÖTALANDS LÄN</t>
        </is>
      </c>
      <c r="E244" t="inlineStr">
        <is>
          <t>BOLLEBYGD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27782-2026</t>
        </is>
      </c>
      <c r="B245" s="1" t="n">
        <v>46191</v>
      </c>
      <c r="C245" s="1" t="n">
        <v>46192</v>
      </c>
      <c r="D245" t="inlineStr">
        <is>
          <t>VÄSTRA GÖTALANDS LÄN</t>
        </is>
      </c>
      <c r="E245" t="inlineStr">
        <is>
          <t>BOLLEBYGD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2026-06-19T00:44:53Z</dcterms:created>
  <dcterms:modified xmlns:dcterms="http://purl.org/dc/terms/" xmlns:xsi="http://www.w3.org/2001/XMLSchema-instance" xsi:type="dcterms:W3CDTF">2026-06-19T00:44:54Z</dcterms:modified>
</cp:coreProperties>
</file>