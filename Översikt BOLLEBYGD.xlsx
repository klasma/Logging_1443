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46230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45112</v>
      </c>
      <c r="E3" s="1" t="n">
        <v>46230</v>
      </c>
      <c r="F3" t="inlineStr">
        <is>
          <t>VÄSTRA GÖTALANDS LÄN</t>
        </is>
      </c>
      <c r="G3" t="inlineStr">
        <is>
          <t>BOLLEBYGD</t>
        </is>
      </c>
      <c r="I3" t="n">
        <v>6.2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10</v>
      </c>
      <c r="U3" t="n">
        <v>8</v>
      </c>
      <c r="V3" s="2" t="inlineStr">
        <is>
          <t>Oxtungssvamp
Vågbandad barkbock
Tofsmes
Svartvit flugsnappare
Grönvit nattviol</t>
        </is>
      </c>
      <c r="W3">
        <f>HYPERLINK("https://klasma.github.io/Logging_1443/artfynd/A 30777-2023 artfynd.xlsx", "A 30777-2023")</f>
        <v/>
      </c>
      <c r="X3">
        <f>HYPERLINK("https://klasma.github.io/Logging_1443/kartor/A 30777-2023 karta.png", "A 30777-2023")</f>
        <v/>
      </c>
      <c r="Y3">
        <f>HYPERLINK("https://klasma.github.io/Logging_1443/kartor_geotiff/A 30777-2023 georefererad karta.tif", "A 30777-2023")</f>
        <v/>
      </c>
      <c r="AA3">
        <f>HYPERLINK("https://klasma.github.io/Logging_1443/klagomål/A 30777-2023 FSC-klagomål.docx", "A 30777-2023")</f>
        <v/>
      </c>
      <c r="AB3">
        <f>HYPERLINK("https://klasma.github.io/Logging_1443/klagomålsmail/A 30777-2023 FSC-klagomål mail.docx", "A 30777-2023")</f>
        <v/>
      </c>
      <c r="AC3">
        <f>HYPERLINK("https://klasma.github.io/Logging_1443/tillsyn/A 30777-2023 tillsynsbegäran.docx", "A 30777-2023")</f>
        <v/>
      </c>
      <c r="AD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46230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46230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t="n">
        <v>6</v>
      </c>
      <c r="V5" s="2" t="inlineStr">
        <is>
          <t>Kattfotslav
Talltita
Vedticka
Tjäder
Orre</t>
        </is>
      </c>
      <c r="W5">
        <f>HYPERLINK("https://klasma.github.io/Logging_1443/artfynd/A 12131-2024 artfynd.xlsx", "A 12131-2024")</f>
        <v/>
      </c>
      <c r="X5">
        <f>HYPERLINK("https://klasma.github.io/Logging_1443/kartor/A 12131-2024 karta.png", "A 12131-2024")</f>
        <v/>
      </c>
      <c r="Y5">
        <f>HYPERLINK("https://klasma.github.io/Logging_1443/kartor_geotiff/A 12131-2024 georefererad karta.tif", "A 12131-2024")</f>
        <v/>
      </c>
      <c r="AA5">
        <f>HYPERLINK("https://klasma.github.io/Logging_1443/klagomål/A 12131-2024 FSC-klagomål.docx", "A 12131-2024")</f>
        <v/>
      </c>
      <c r="AB5">
        <f>HYPERLINK("https://klasma.github.io/Logging_1443/klagomålsmail/A 12131-2024 FSC-klagomål mail.docx", "A 12131-2024")</f>
        <v/>
      </c>
      <c r="AC5">
        <f>HYPERLINK("https://klasma.github.io/Logging_1443/tillsyn/A 12131-2024 tillsynsbegäran.docx", "A 12131-2024")</f>
        <v/>
      </c>
      <c r="AD5">
        <f>HYPERLINK("https://klasma.github.io/Logging_1443/tillsynsmail/A 12131-2024 tillsynsbegäran mail.docx", "A 12131-2024")</f>
        <v/>
      </c>
      <c r="AE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46230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Svartbent strandpipare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46230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46230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46230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46230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46230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Talltita
Tjäder</t>
        </is>
      </c>
      <c r="W11">
        <f>HYPERLINK("https://klasma.github.io/Logging_1443/artfynd/A 30666-2023 artfynd.xlsx", "A 30666-2023")</f>
        <v/>
      </c>
      <c r="X11">
        <f>HYPERLINK("https://klasma.github.io/Logging_1443/kartor/A 30666-2023 karta.png", "A 30666-2023")</f>
        <v/>
      </c>
      <c r="Y11">
        <f>HYPERLINK("https://klasma.github.io/Logging_1443/kartor_geotiff/A 30666-2023 georefererad karta.tif", "A 30666-2023")</f>
        <v/>
      </c>
      <c r="AA11">
        <f>HYPERLINK("https://klasma.github.io/Logging_1443/klagomål/A 30666-2023 FSC-klagomål.docx", "A 30666-2023")</f>
        <v/>
      </c>
      <c r="AB11">
        <f>HYPERLINK("https://klasma.github.io/Logging_1443/klagomålsmail/A 30666-2023 FSC-klagomål mail.docx", "A 30666-2023")</f>
        <v/>
      </c>
      <c r="AC11">
        <f>HYPERLINK("https://klasma.github.io/Logging_1443/tillsyn/A 30666-2023 tillsynsbegäran.docx", "A 30666-2023")</f>
        <v/>
      </c>
      <c r="AD11">
        <f>HYPERLINK("https://klasma.github.io/Logging_1443/tillsynsmail/A 30666-2023 tillsynsbegäran mail.docx", "A 30666-2023")</f>
        <v/>
      </c>
      <c r="AE11">
        <f>HYPERLINK("https://klasma.github.io/Logging_1443/fåglar/A 30666-2023 prioriterade fågelarter.docx", "A 30666-2023")</f>
        <v/>
      </c>
    </row>
    <row r="12" ht="15" customHeight="1">
      <c r="A12" t="inlineStr">
        <is>
          <t>A 60380-2025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45995</v>
      </c>
      <c r="E12" s="1" t="n">
        <v>46230</v>
      </c>
      <c r="F12" t="inlineStr">
        <is>
          <t>VÄSTRA GÖTALANDS LÄN</t>
        </is>
      </c>
      <c r="G12" t="inlineStr">
        <is>
          <t>BOLLEBYGD</t>
        </is>
      </c>
      <c r="I12" t="n">
        <v>2.5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Spillkråka
Revlummer</t>
        </is>
      </c>
      <c r="W12">
        <f>HYPERLINK("https://klasma.github.io/Logging_1443/artfynd/A 60380-2025 artfynd.xlsx", "A 60380-2025")</f>
        <v/>
      </c>
      <c r="X12">
        <f>HYPERLINK("https://klasma.github.io/Logging_1443/kartor/A 60380-2025 karta.png", "A 60380-2025")</f>
        <v/>
      </c>
      <c r="Y12">
        <f>HYPERLINK("https://klasma.github.io/Logging_1443/kartor_geotiff/A 60380-2025 georefererad karta.tif", "A 60380-2025")</f>
        <v/>
      </c>
      <c r="AA12">
        <f>HYPERLINK("https://klasma.github.io/Logging_1443/klagomål/A 60380-2025 FSC-klagomål.docx", "A 60380-2025")</f>
        <v/>
      </c>
      <c r="AB12">
        <f>HYPERLINK("https://klasma.github.io/Logging_1443/klagomålsmail/A 60380-2025 FSC-klagomål mail.docx", "A 60380-2025")</f>
        <v/>
      </c>
      <c r="AC12">
        <f>HYPERLINK("https://klasma.github.io/Logging_1443/tillsyn/A 60380-2025 tillsynsbegäran.docx", "A 60380-2025")</f>
        <v/>
      </c>
      <c r="AD12">
        <f>HYPERLINK("https://klasma.github.io/Logging_1443/tillsynsmail/A 60380-2025 tillsynsbegäran mail.docx", "A 60380-2025")</f>
        <v/>
      </c>
      <c r="AE12">
        <f>HYPERLINK("https://klasma.github.io/Logging_1443/fåglar/A 60380-2025 prioriterade fågelarter.docx", "A 60380-2025")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46230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46230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31714-2023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46230</v>
      </c>
      <c r="F15" t="inlineStr">
        <is>
          <t>VÄSTRA GÖTALANDS LÄN</t>
        </is>
      </c>
      <c r="G15" t="inlineStr">
        <is>
          <t>BOLLEBYGD</t>
        </is>
      </c>
      <c r="I15" t="n">
        <v>2.4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Spillkråka
Grönsiska</t>
        </is>
      </c>
      <c r="W15">
        <f>HYPERLINK("https://klasma.github.io/Logging_1443/artfynd/A 31714-2023 artfynd.xlsx", "A 31714-2023")</f>
        <v/>
      </c>
      <c r="X15">
        <f>HYPERLINK("https://klasma.github.io/Logging_1443/kartor/A 31714-2023 karta.png", "A 31714-2023")</f>
        <v/>
      </c>
      <c r="Y15">
        <f>HYPERLINK("https://klasma.github.io/Logging_1443/kartor_geotiff/A 31714-2023 georefererad karta.tif", "A 31714-2023")</f>
        <v/>
      </c>
      <c r="AA15">
        <f>HYPERLINK("https://klasma.github.io/Logging_1443/klagomål/A 31714-2023 FSC-klagomål.docx", "A 31714-2023")</f>
        <v/>
      </c>
      <c r="AB15">
        <f>HYPERLINK("https://klasma.github.io/Logging_1443/klagomålsmail/A 31714-2023 FSC-klagomål mail.docx", "A 31714-2023")</f>
        <v/>
      </c>
      <c r="AC15">
        <f>HYPERLINK("https://klasma.github.io/Logging_1443/tillsyn/A 31714-2023 tillsynsbegäran.docx", "A 31714-2023")</f>
        <v/>
      </c>
      <c r="AD15">
        <f>HYPERLINK("https://klasma.github.io/Logging_1443/tillsynsmail/A 31714-2023 tillsynsbegäran mail.docx", "A 31714-2023")</f>
        <v/>
      </c>
      <c r="AE15">
        <f>HYPERLINK("https://klasma.github.io/Logging_1443/fåglar/A 31714-2023 prioriterade fågelarter.docx", "A 31714-2023")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46230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46230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46230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46230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30754-2023 artfynd.xlsx", "A 30754-2023")</f>
        <v/>
      </c>
      <c r="X19">
        <f>HYPERLINK("https://klasma.github.io/Logging_1443/kartor/A 30754-2023 karta.png", "A 30754-2023")</f>
        <v/>
      </c>
      <c r="Y19">
        <f>HYPERLINK("https://klasma.github.io/Logging_1443/kartor_geotiff/A 30754-2023 georefererad karta.tif", "A 30754-2023")</f>
        <v/>
      </c>
      <c r="AA19">
        <f>HYPERLINK("https://klasma.github.io/Logging_1443/klagomål/A 30754-2023 FSC-klagomål.docx", "A 30754-2023")</f>
        <v/>
      </c>
      <c r="AB19">
        <f>HYPERLINK("https://klasma.github.io/Logging_1443/klagomålsmail/A 30754-2023 FSC-klagomål mail.docx", "A 30754-2023")</f>
        <v/>
      </c>
      <c r="AC19">
        <f>HYPERLINK("https://klasma.github.io/Logging_1443/tillsyn/A 30754-2023 tillsynsbegäran.docx", "A 30754-2023")</f>
        <v/>
      </c>
      <c r="AD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46230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30653-2023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46230</v>
      </c>
      <c r="F21" t="inlineStr">
        <is>
          <t>VÄSTRA GÖTALANDS LÄN</t>
        </is>
      </c>
      <c r="G21" t="inlineStr">
        <is>
          <t>BOLLEBYGD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HYPERLINK("https://klasma.github.io/Logging_1443/artfynd/A 30653-2023 artfynd.xlsx", "A 30653-2023")</f>
        <v/>
      </c>
      <c r="X21">
        <f>HYPERLINK("https://klasma.github.io/Logging_1443/kartor/A 30653-2023 karta.png", "A 30653-2023")</f>
        <v/>
      </c>
      <c r="Y21">
        <f>HYPERLINK("https://klasma.github.io/Logging_1443/kartor_geotiff/A 30653-2023 georefererad karta.tif", "A 30653-2023")</f>
        <v/>
      </c>
      <c r="AA21">
        <f>HYPERLINK("https://klasma.github.io/Logging_1443/klagomål/A 30653-2023 FSC-klagomål.docx", "A 30653-2023")</f>
        <v/>
      </c>
      <c r="AB21">
        <f>HYPERLINK("https://klasma.github.io/Logging_1443/klagomålsmail/A 30653-2023 FSC-klagomål mail.docx", "A 30653-2023")</f>
        <v/>
      </c>
      <c r="AC21">
        <f>HYPERLINK("https://klasma.github.io/Logging_1443/tillsyn/A 30653-2023 tillsynsbegäran.docx", "A 30653-2023")</f>
        <v/>
      </c>
      <c r="AD21">
        <f>HYPERLINK("https://klasma.github.io/Logging_1443/tillsynsmail/A 30653-2023 tillsynsbegäran mail.docx", "A 30653-2023")</f>
        <v/>
      </c>
      <c r="AE21">
        <f>HYPERLINK("https://klasma.github.io/Logging_1443/fåglar/A 30653-2023 prioriterade fågelarter.docx", "A 30653-2023")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46230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46230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35491-2023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46230</v>
      </c>
      <c r="F24" t="inlineStr">
        <is>
          <t>VÄSTRA GÖTALANDS LÄN</t>
        </is>
      </c>
      <c r="G24" t="inlineStr">
        <is>
          <t>BOLLEBYGD</t>
        </is>
      </c>
      <c r="I24" t="n">
        <v>3.5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HYPERLINK("https://klasma.github.io/Logging_1443/artfynd/A 35491-2023 artfynd.xlsx", "A 35491-2023")</f>
        <v/>
      </c>
      <c r="X24">
        <f>HYPERLINK("https://klasma.github.io/Logging_1443/kartor/A 35491-2023 karta.png", "A 35491-2023")</f>
        <v/>
      </c>
      <c r="Y24">
        <f>HYPERLINK("https://klasma.github.io/Logging_1443/kartor_geotiff/A 35491-2023 georefererad karta.tif", "A 35491-2023")</f>
        <v/>
      </c>
      <c r="Z24">
        <f>HYPERLINK("https://klasma.github.io/Logging_1443/knärot/A 35491-2023 karta knärot.png", "A 35491-2023")</f>
        <v/>
      </c>
      <c r="AA24">
        <f>HYPERLINK("https://klasma.github.io/Logging_1443/klagomål/A 35491-2023 FSC-klagomål.docx", "A 35491-2023")</f>
        <v/>
      </c>
      <c r="AB24">
        <f>HYPERLINK("https://klasma.github.io/Logging_1443/klagomålsmail/A 35491-2023 FSC-klagomål mail.docx", "A 35491-2023")</f>
        <v/>
      </c>
      <c r="AC24">
        <f>HYPERLINK("https://klasma.github.io/Logging_1443/tillsyn/A 35491-2023 tillsynsbegäran.docx", "A 35491-2023")</f>
        <v/>
      </c>
      <c r="AD24">
        <f>HYPERLINK("https://klasma.github.io/Logging_1443/tillsynsmail/A 35491-2023 tillsynsbegäran mail.docx", "A 35491-2023")</f>
        <v/>
      </c>
    </row>
    <row r="25" ht="15" customHeight="1">
      <c r="A25" t="inlineStr">
        <is>
          <t>A 30662-2023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46230</v>
      </c>
      <c r="F25" t="inlineStr">
        <is>
          <t>VÄSTRA GÖTALANDS LÄN</t>
        </is>
      </c>
      <c r="G25" t="inlineStr">
        <is>
          <t>BOLLEBYGD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Svartvit flugsnappare</t>
        </is>
      </c>
      <c r="W25">
        <f>HYPERLINK("https://klasma.github.io/Logging_1443/artfynd/A 30662-2023 artfynd.xlsx", "A 30662-2023")</f>
        <v/>
      </c>
      <c r="X25">
        <f>HYPERLINK("https://klasma.github.io/Logging_1443/kartor/A 30662-2023 karta.png", "A 30662-2023")</f>
        <v/>
      </c>
      <c r="Y25">
        <f>HYPERLINK("https://klasma.github.io/Logging_1443/kartor_geotiff/A 30662-2023 georefererad karta.tif", "A 30662-2023")</f>
        <v/>
      </c>
      <c r="AA25">
        <f>HYPERLINK("https://klasma.github.io/Logging_1443/klagomål/A 30662-2023 FSC-klagomål.docx", "A 30662-2023")</f>
        <v/>
      </c>
      <c r="AB25">
        <f>HYPERLINK("https://klasma.github.io/Logging_1443/klagomålsmail/A 30662-2023 FSC-klagomål mail.docx", "A 30662-2023")</f>
        <v/>
      </c>
      <c r="AC25">
        <f>HYPERLINK("https://klasma.github.io/Logging_1443/tillsyn/A 30662-2023 tillsynsbegäran.docx", "A 30662-2023")</f>
        <v/>
      </c>
      <c r="AD25">
        <f>HYPERLINK("https://klasma.github.io/Logging_1443/tillsynsmail/A 30662-2023 tillsynsbegäran mail.docx", "A 30662-2023")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46230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46230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HYPERLINK("https://klasma.github.io/Logging_1443/artfynd/A 31742-2023 artfynd.xlsx", "A 31742-2023")</f>
        <v/>
      </c>
      <c r="X27">
        <f>HYPERLINK("https://klasma.github.io/Logging_1443/kartor/A 31742-2023 karta.png", "A 31742-2023")</f>
        <v/>
      </c>
      <c r="Y27">
        <f>HYPERLINK("https://klasma.github.io/Logging_1443/kartor_geotiff/A 31742-2023 georefererad karta.tif", "A 31742-2023")</f>
        <v/>
      </c>
      <c r="AA27">
        <f>HYPERLINK("https://klasma.github.io/Logging_1443/klagomål/A 31742-2023 FSC-klagomål.docx", "A 31742-2023")</f>
        <v/>
      </c>
      <c r="AB27">
        <f>HYPERLINK("https://klasma.github.io/Logging_1443/klagomålsmail/A 31742-2023 FSC-klagomål mail.docx", "A 31742-2023")</f>
        <v/>
      </c>
      <c r="AC27">
        <f>HYPERLINK("https://klasma.github.io/Logging_1443/tillsyn/A 31742-2023 tillsynsbegäran.docx", "A 31742-2023")</f>
        <v/>
      </c>
      <c r="AD27">
        <f>HYPERLINK("https://klasma.github.io/Logging_1443/tillsynsmail/A 31742-2023 tillsynsbegäran mail.docx", "A 31742-2023")</f>
        <v/>
      </c>
      <c r="AE27">
        <f>HYPERLINK("https://klasma.github.io/Logging_1443/fåglar/A 31742-2023 prioriterade fågelarter.docx", "A 31742-2023")</f>
        <v/>
      </c>
    </row>
    <row r="28" ht="15" customHeight="1">
      <c r="A28" t="inlineStr">
        <is>
          <t>A 23906-2024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45455</v>
      </c>
      <c r="E28" s="1" t="n">
        <v>46230</v>
      </c>
      <c r="F28" t="inlineStr">
        <is>
          <t>VÄSTRA GÖTALANDS LÄN</t>
        </is>
      </c>
      <c r="G28" t="inlineStr">
        <is>
          <t>BOLLEBYGD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23906-2024 artfynd.xlsx", "A 23906-2024")</f>
        <v/>
      </c>
      <c r="X28">
        <f>HYPERLINK("https://klasma.github.io/Logging_1443/kartor/A 23906-2024 karta.png", "A 23906-2024")</f>
        <v/>
      </c>
      <c r="Y28">
        <f>HYPERLINK("https://klasma.github.io/Logging_1443/kartor_geotiff/A 23906-2024 georefererad karta.tif", "A 23906-2024")</f>
        <v/>
      </c>
      <c r="AA28">
        <f>HYPERLINK("https://klasma.github.io/Logging_1443/klagomål/A 23906-2024 FSC-klagomål.docx", "A 23906-2024")</f>
        <v/>
      </c>
      <c r="AB28">
        <f>HYPERLINK("https://klasma.github.io/Logging_1443/klagomålsmail/A 23906-2024 FSC-klagomål mail.docx", "A 23906-2024")</f>
        <v/>
      </c>
      <c r="AC28">
        <f>HYPERLINK("https://klasma.github.io/Logging_1443/tillsyn/A 23906-2024 tillsynsbegäran.docx", "A 23906-2024")</f>
        <v/>
      </c>
      <c r="AD28">
        <f>HYPERLINK("https://klasma.github.io/Logging_1443/tillsynsmail/A 23906-2024 tillsynsbegäran mail.docx", "A 23906-2024")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46230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Fällmossa</t>
        </is>
      </c>
      <c r="W29">
        <f>HYPERLINK("https://klasma.github.io/Logging_1443/artfynd/A 32503-2025 artfynd.xlsx", "A 32503-2025")</f>
        <v/>
      </c>
      <c r="X29">
        <f>HYPERLINK("https://klasma.github.io/Logging_1443/kartor/A 32503-2025 karta.png", "A 32503-2025")</f>
        <v/>
      </c>
      <c r="Y29">
        <f>HYPERLINK("https://klasma.github.io/Logging_1443/kartor_geotiff/A 32503-2025 georefererad karta.tif", "A 32503-2025")</f>
        <v/>
      </c>
      <c r="AA29">
        <f>HYPERLINK("https://klasma.github.io/Logging_1443/klagomål/A 32503-2025 FSC-klagomål.docx", "A 32503-2025")</f>
        <v/>
      </c>
      <c r="AB29">
        <f>HYPERLINK("https://klasma.github.io/Logging_1443/klagomålsmail/A 32503-2025 FSC-klagomål mail.docx", "A 32503-2025")</f>
        <v/>
      </c>
      <c r="AC29">
        <f>HYPERLINK("https://klasma.github.io/Logging_1443/tillsyn/A 32503-2025 tillsynsbegäran.docx", "A 32503-2025")</f>
        <v/>
      </c>
      <c r="AD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46230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46230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46230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46230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46230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46230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46230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46230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46230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46230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46230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46230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46230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46230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46230</v>
      </c>
      <c r="F44" t="inlineStr">
        <is>
          <t>VÄSTRA GÖTALANDS LÄN</t>
        </is>
      </c>
      <c r="G44" t="inlineStr">
        <is>
          <t>BOLLEBYGD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46230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46230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46230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46230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46230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6745-2023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44966</v>
      </c>
      <c r="E50" s="1" t="n">
        <v>46230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46230</v>
      </c>
      <c r="F51" t="inlineStr">
        <is>
          <t>VÄSTRA GÖTALANDS LÄN</t>
        </is>
      </c>
      <c r="G51" t="inlineStr">
        <is>
          <t>BOLLEBYGD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46230</v>
      </c>
      <c r="F52" t="inlineStr">
        <is>
          <t>VÄSTRA GÖTALANDS LÄN</t>
        </is>
      </c>
      <c r="G52" t="inlineStr">
        <is>
          <t>BOLLEBYGD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31889-2023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45118</v>
      </c>
      <c r="E53" s="1" t="n">
        <v>46230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46230</v>
      </c>
      <c r="F54" t="inlineStr">
        <is>
          <t>VÄSTRA GÖTALANDS LÄN</t>
        </is>
      </c>
      <c r="G54" t="inlineStr">
        <is>
          <t>BOLLEBYGD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46230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44946</v>
      </c>
      <c r="E56" s="1" t="n">
        <v>46230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46230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45624</v>
      </c>
      <c r="E58" s="1" t="n">
        <v>46230</v>
      </c>
      <c r="F58" t="inlineStr">
        <is>
          <t>VÄSTRA GÖTALANDS LÄN</t>
        </is>
      </c>
      <c r="G58" t="inlineStr">
        <is>
          <t>BOLLEBYGD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46230</v>
      </c>
      <c r="F59" t="inlineStr">
        <is>
          <t>VÄSTRA GÖTALANDS LÄN</t>
        </is>
      </c>
      <c r="G59" t="inlineStr">
        <is>
          <t>BOLLEBYGD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46230</v>
      </c>
      <c r="F60" t="inlineStr">
        <is>
          <t>VÄSTRA GÖTALANDS LÄN</t>
        </is>
      </c>
      <c r="G60" t="inlineStr">
        <is>
          <t>BOLLEBYGD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8570-2025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45709</v>
      </c>
      <c r="E61" s="1" t="n">
        <v>46230</v>
      </c>
      <c r="F61" t="inlineStr">
        <is>
          <t>VÄSTRA GÖTALANDS LÄN</t>
        </is>
      </c>
      <c r="G61" t="inlineStr">
        <is>
          <t>BOLLEBYGD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47265-2024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45586</v>
      </c>
      <c r="E62" s="1" t="n">
        <v>46230</v>
      </c>
      <c r="F62" t="inlineStr">
        <is>
          <t>VÄSTRA GÖTALANDS LÄN</t>
        </is>
      </c>
      <c r="G62" t="inlineStr">
        <is>
          <t>BOLLEBYGD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44683</v>
      </c>
      <c r="E63" s="1" t="n">
        <v>46230</v>
      </c>
      <c r="F63" t="inlineStr">
        <is>
          <t>VÄSTRA GÖTALANDS LÄN</t>
        </is>
      </c>
      <c r="G63" t="inlineStr">
        <is>
          <t>BOLLEBYGD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44958</v>
      </c>
      <c r="E64" s="1" t="n">
        <v>46230</v>
      </c>
      <c r="F64" t="inlineStr">
        <is>
          <t>VÄSTRA GÖTALANDS LÄN</t>
        </is>
      </c>
      <c r="G64" t="inlineStr">
        <is>
          <t>BOLLEBYGD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54295-2023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45232</v>
      </c>
      <c r="E65" s="1" t="n">
        <v>46230</v>
      </c>
      <c r="F65" t="inlineStr">
        <is>
          <t>VÄSTRA GÖTALANDS LÄN</t>
        </is>
      </c>
      <c r="G65" t="inlineStr">
        <is>
          <t>BOLLEBYGD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45204</v>
      </c>
      <c r="E66" s="1" t="n">
        <v>46230</v>
      </c>
      <c r="F66" t="inlineStr">
        <is>
          <t>VÄSTRA GÖTALANDS LÄN</t>
        </is>
      </c>
      <c r="G66" t="inlineStr">
        <is>
          <t>BOLLEBYGD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46230</v>
      </c>
      <c r="F67" t="inlineStr">
        <is>
          <t>VÄSTRA GÖTALANDS LÄN</t>
        </is>
      </c>
      <c r="G67" t="inlineStr">
        <is>
          <t>BOLLEBYGD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50981-2023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45218</v>
      </c>
      <c r="E68" s="1" t="n">
        <v>46230</v>
      </c>
      <c r="F68" t="inlineStr">
        <is>
          <t>VÄSTRA GÖTALANDS LÄN</t>
        </is>
      </c>
      <c r="G68" t="inlineStr">
        <is>
          <t>BOLLEBYGD</t>
        </is>
      </c>
      <c r="H68" t="inlineStr">
        <is>
          <t>Sveaskog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50302-2023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45216</v>
      </c>
      <c r="E69" s="1" t="n">
        <v>46230</v>
      </c>
      <c r="F69" t="inlineStr">
        <is>
          <t>VÄSTRA GÖTALANDS LÄN</t>
        </is>
      </c>
      <c r="G69" t="inlineStr">
        <is>
          <t>BOLLEBYGD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36650-2025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45872</v>
      </c>
      <c r="E70" s="1" t="n">
        <v>46230</v>
      </c>
      <c r="F70" t="inlineStr">
        <is>
          <t>VÄSTRA GÖTALANDS LÄN</t>
        </is>
      </c>
      <c r="G70" t="inlineStr">
        <is>
          <t>BOLLEBYGD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46230</v>
      </c>
      <c r="F71" t="inlineStr">
        <is>
          <t>VÄSTRA GÖTALANDS LÄN</t>
        </is>
      </c>
      <c r="G71" t="inlineStr">
        <is>
          <t>BOLLEBYGD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46230</v>
      </c>
      <c r="F72" t="inlineStr">
        <is>
          <t>VÄSTRA GÖTALANDS LÄN</t>
        </is>
      </c>
      <c r="G72" t="inlineStr">
        <is>
          <t>BOLLEBYGD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59472-2023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45254</v>
      </c>
      <c r="E73" s="1" t="n">
        <v>46230</v>
      </c>
      <c r="F73" t="inlineStr">
        <is>
          <t>VÄSTRA GÖTALANDS LÄN</t>
        </is>
      </c>
      <c r="G73" t="inlineStr">
        <is>
          <t>BOLLEBYGD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46230</v>
      </c>
      <c r="F74" t="inlineStr">
        <is>
          <t>VÄSTRA GÖTALANDS LÄN</t>
        </is>
      </c>
      <c r="G74" t="inlineStr">
        <is>
          <t>BOLLEBYGD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46230</v>
      </c>
      <c r="F75" t="inlineStr">
        <is>
          <t>VÄSTRA GÖTALANDS LÄN</t>
        </is>
      </c>
      <c r="G75" t="inlineStr">
        <is>
          <t>BOLLEBYGD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65143-2023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45288</v>
      </c>
      <c r="E76" s="1" t="n">
        <v>46230</v>
      </c>
      <c r="F76" t="inlineStr">
        <is>
          <t>VÄSTRA GÖTALANDS LÄN</t>
        </is>
      </c>
      <c r="G76" t="inlineStr">
        <is>
          <t>BOLLEBYGD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31546-2022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44775</v>
      </c>
      <c r="E77" s="1" t="n">
        <v>46230</v>
      </c>
      <c r="F77" t="inlineStr">
        <is>
          <t>VÄSTRA GÖTALANDS LÄN</t>
        </is>
      </c>
      <c r="G77" t="inlineStr">
        <is>
          <t>BOLLEBYGD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46230</v>
      </c>
      <c r="F78" t="inlineStr">
        <is>
          <t>VÄSTRA GÖTALANDS LÄN</t>
        </is>
      </c>
      <c r="G78" t="inlineStr">
        <is>
          <t>BOLLEBYGD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25928-2023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45090</v>
      </c>
      <c r="E79" s="1" t="n">
        <v>46230</v>
      </c>
      <c r="F79" t="inlineStr">
        <is>
          <t>VÄSTRA GÖTALANDS LÄN</t>
        </is>
      </c>
      <c r="G79" t="inlineStr">
        <is>
          <t>BOLLEBYGD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45696</v>
      </c>
      <c r="E80" s="1" t="n">
        <v>46230</v>
      </c>
      <c r="F80" t="inlineStr">
        <is>
          <t>VÄSTRA GÖTALANDS LÄN</t>
        </is>
      </c>
      <c r="G80" t="inlineStr">
        <is>
          <t>BOLLEBYGD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45953</v>
      </c>
      <c r="E81" s="1" t="n">
        <v>46230</v>
      </c>
      <c r="F81" t="inlineStr">
        <is>
          <t>VÄSTRA GÖTALANDS LÄN</t>
        </is>
      </c>
      <c r="G81" t="inlineStr">
        <is>
          <t>BOLLEBYGD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46230</v>
      </c>
      <c r="F82" t="inlineStr">
        <is>
          <t>VÄSTRA GÖTALANDS LÄN</t>
        </is>
      </c>
      <c r="G82" t="inlineStr">
        <is>
          <t>BOLLEBYGD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45534</v>
      </c>
      <c r="E83" s="1" t="n">
        <v>46230</v>
      </c>
      <c r="F83" t="inlineStr">
        <is>
          <t>VÄSTRA GÖTALANDS LÄN</t>
        </is>
      </c>
      <c r="G83" t="inlineStr">
        <is>
          <t>BOLLEBYGD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30628-2023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46230</v>
      </c>
      <c r="F84" t="inlineStr">
        <is>
          <t>VÄSTRA GÖTALANDS LÄN</t>
        </is>
      </c>
      <c r="G84" t="inlineStr">
        <is>
          <t>BOLLEBYGD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45112</v>
      </c>
      <c r="E85" s="1" t="n">
        <v>46230</v>
      </c>
      <c r="F85" t="inlineStr">
        <is>
          <t>VÄSTRA GÖTALANDS LÄN</t>
        </is>
      </c>
      <c r="G85" t="inlineStr">
        <is>
          <t>BOLLEBYGD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36532-2024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46230</v>
      </c>
      <c r="F86" t="inlineStr">
        <is>
          <t>VÄSTRA GÖTALANDS LÄN</t>
        </is>
      </c>
      <c r="G86" t="inlineStr">
        <is>
          <t>BOLLEBYGD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22834-2024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46230</v>
      </c>
      <c r="F87" t="inlineStr">
        <is>
          <t>VÄSTRA GÖTALANDS LÄN</t>
        </is>
      </c>
      <c r="G87" t="inlineStr">
        <is>
          <t>BOLLEBYGD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46230</v>
      </c>
      <c r="F88" t="inlineStr">
        <is>
          <t>VÄSTRA GÖTALANDS LÄN</t>
        </is>
      </c>
      <c r="G88" t="inlineStr">
        <is>
          <t>BOLLEBYGD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46230</v>
      </c>
      <c r="F89" t="inlineStr">
        <is>
          <t>VÄSTRA GÖTALANDS LÄN</t>
        </is>
      </c>
      <c r="G89" t="inlineStr">
        <is>
          <t>BOLLEBYGD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67455-2021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46230</v>
      </c>
      <c r="F90" t="inlineStr">
        <is>
          <t>VÄSTRA GÖTALANDS LÄN</t>
        </is>
      </c>
      <c r="G90" t="inlineStr">
        <is>
          <t>BOLLEBYGD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45762</v>
      </c>
      <c r="E91" s="1" t="n">
        <v>46230</v>
      </c>
      <c r="F91" t="inlineStr">
        <is>
          <t>VÄSTRA GÖTALANDS LÄN</t>
        </is>
      </c>
      <c r="G91" t="inlineStr">
        <is>
          <t>BOLLEBYGD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58093-2023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45248</v>
      </c>
      <c r="E92" s="1" t="n">
        <v>46230</v>
      </c>
      <c r="F92" t="inlineStr">
        <is>
          <t>VÄSTRA GÖTALANDS LÄN</t>
        </is>
      </c>
      <c r="G92" t="inlineStr">
        <is>
          <t>BOLLEBYGD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44881</v>
      </c>
      <c r="E93" s="1" t="n">
        <v>46230</v>
      </c>
      <c r="F93" t="inlineStr">
        <is>
          <t>VÄSTRA GÖTALANDS LÄN</t>
        </is>
      </c>
      <c r="G93" t="inlineStr">
        <is>
          <t>BOLLEBYGD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46230</v>
      </c>
      <c r="F94" t="inlineStr">
        <is>
          <t>VÄSTRA GÖTALANDS LÄN</t>
        </is>
      </c>
      <c r="G94" t="inlineStr">
        <is>
          <t>BOLLEBYGD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42157-2021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44426</v>
      </c>
      <c r="E95" s="1" t="n">
        <v>46230</v>
      </c>
      <c r="F95" t="inlineStr">
        <is>
          <t>VÄSTRA GÖTALANDS LÄN</t>
        </is>
      </c>
      <c r="G95" t="inlineStr">
        <is>
          <t>BOLLEBYGD</t>
        </is>
      </c>
      <c r="I95" t="n">
        <v>8.9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46230</v>
      </c>
      <c r="F96" t="inlineStr">
        <is>
          <t>VÄSTRA GÖTALANDS LÄN</t>
        </is>
      </c>
      <c r="G96" t="inlineStr">
        <is>
          <t>BOLLEBYGD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46230</v>
      </c>
      <c r="F97" t="inlineStr">
        <is>
          <t>VÄSTRA GÖTALANDS LÄN</t>
        </is>
      </c>
      <c r="G97" t="inlineStr">
        <is>
          <t>BOLLEBYGD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45197</v>
      </c>
      <c r="E98" s="1" t="n">
        <v>46230</v>
      </c>
      <c r="F98" t="inlineStr">
        <is>
          <t>VÄSTRA GÖTALANDS LÄN</t>
        </is>
      </c>
      <c r="G98" t="inlineStr">
        <is>
          <t>BOLLEBYGD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46230</v>
      </c>
      <c r="F99" t="inlineStr">
        <is>
          <t>VÄSTRA GÖTALANDS LÄN</t>
        </is>
      </c>
      <c r="G99" t="inlineStr">
        <is>
          <t>BOLLEBYGD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45933</v>
      </c>
      <c r="E100" s="1" t="n">
        <v>46230</v>
      </c>
      <c r="F100" t="inlineStr">
        <is>
          <t>VÄSTRA GÖTALANDS LÄN</t>
        </is>
      </c>
      <c r="G100" t="inlineStr">
        <is>
          <t>BOLLEBYGD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46230</v>
      </c>
      <c r="F101" t="inlineStr">
        <is>
          <t>VÄSTRA GÖTALANDS LÄN</t>
        </is>
      </c>
      <c r="G101" t="inlineStr">
        <is>
          <t>BOLLEBYGD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46230</v>
      </c>
      <c r="F102" t="inlineStr">
        <is>
          <t>VÄSTRA GÖTALANDS LÄN</t>
        </is>
      </c>
      <c r="G102" t="inlineStr">
        <is>
          <t>BOLLEBYGD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46230</v>
      </c>
      <c r="F103" t="inlineStr">
        <is>
          <t>VÄSTRA GÖTALANDS LÄN</t>
        </is>
      </c>
      <c r="G103" t="inlineStr">
        <is>
          <t>BOLLEBYGD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46230</v>
      </c>
      <c r="F104" t="inlineStr">
        <is>
          <t>VÄSTRA GÖTALANDS LÄN</t>
        </is>
      </c>
      <c r="G104" t="inlineStr">
        <is>
          <t>BOLLEBYGD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46230</v>
      </c>
      <c r="F105" t="inlineStr">
        <is>
          <t>VÄSTRA GÖTALANDS LÄN</t>
        </is>
      </c>
      <c r="G105" t="inlineStr">
        <is>
          <t>BOLLEBYGD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44510</v>
      </c>
      <c r="E106" s="1" t="n">
        <v>46230</v>
      </c>
      <c r="F106" t="inlineStr">
        <is>
          <t>VÄSTRA GÖTALANDS LÄN</t>
        </is>
      </c>
      <c r="G106" t="inlineStr">
        <is>
          <t>BOLLEBYGD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45308</v>
      </c>
      <c r="E107" s="1" t="n">
        <v>46230</v>
      </c>
      <c r="F107" t="inlineStr">
        <is>
          <t>VÄSTRA GÖTALANDS LÄN</t>
        </is>
      </c>
      <c r="G107" t="inlineStr">
        <is>
          <t>BOLLEBYGD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44726</v>
      </c>
      <c r="E108" s="1" t="n">
        <v>46230</v>
      </c>
      <c r="F108" t="inlineStr">
        <is>
          <t>VÄSTRA GÖTALANDS LÄN</t>
        </is>
      </c>
      <c r="G108" t="inlineStr">
        <is>
          <t>BOLLEBYGD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46230</v>
      </c>
      <c r="F109" t="inlineStr">
        <is>
          <t>VÄSTRA GÖTALANDS LÄN</t>
        </is>
      </c>
      <c r="G109" t="inlineStr">
        <is>
          <t>BOLLEBYGD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27103-2024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45471</v>
      </c>
      <c r="E110" s="1" t="n">
        <v>46230</v>
      </c>
      <c r="F110" t="inlineStr">
        <is>
          <t>VÄSTRA GÖTALANDS LÄN</t>
        </is>
      </c>
      <c r="G110" t="inlineStr">
        <is>
          <t>BOLLEBYGD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46188</v>
      </c>
      <c r="E111" s="1" t="n">
        <v>46230</v>
      </c>
      <c r="F111" t="inlineStr">
        <is>
          <t>VÄSTRA GÖTALANDS LÄN</t>
        </is>
      </c>
      <c r="G111" t="inlineStr">
        <is>
          <t>BOLLEBYGD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45621</v>
      </c>
      <c r="E112" s="1" t="n">
        <v>46230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46230</v>
      </c>
      <c r="F113" t="inlineStr">
        <is>
          <t>VÄSTRA GÖTALANDS LÄN</t>
        </is>
      </c>
      <c r="G113" t="inlineStr">
        <is>
          <t>BOLLEBYGD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46230</v>
      </c>
      <c r="F114" t="inlineStr">
        <is>
          <t>VÄSTRA GÖTALANDS LÄN</t>
        </is>
      </c>
      <c r="G114" t="inlineStr">
        <is>
          <t>BOLLEBYGD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46230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46230</v>
      </c>
      <c r="F116" t="inlineStr">
        <is>
          <t>VÄSTRA GÖTALANDS LÄN</t>
        </is>
      </c>
      <c r="G116" t="inlineStr">
        <is>
          <t>BOLLEBYGD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46188</v>
      </c>
      <c r="E117" s="1" t="n">
        <v>46230</v>
      </c>
      <c r="F117" t="inlineStr">
        <is>
          <t>VÄSTRA GÖTALANDS LÄN</t>
        </is>
      </c>
      <c r="G117" t="inlineStr">
        <is>
          <t>BOLLEBYGD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46230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45117</v>
      </c>
      <c r="E119" s="1" t="n">
        <v>46230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45276</v>
      </c>
      <c r="E120" s="1" t="n">
        <v>46230</v>
      </c>
      <c r="F120" t="inlineStr">
        <is>
          <t>VÄSTRA GÖTALANDS LÄN</t>
        </is>
      </c>
      <c r="G120" t="inlineStr">
        <is>
          <t>BOLLEBYGD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46230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27782-2026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46191</v>
      </c>
      <c r="E122" s="1" t="n">
        <v>46230</v>
      </c>
      <c r="F122" t="inlineStr">
        <is>
          <t>VÄSTRA GÖTALANDS LÄN</t>
        </is>
      </c>
      <c r="G122" t="inlineStr">
        <is>
          <t>BOLLEBYGD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62986-2023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45272</v>
      </c>
      <c r="E123" s="1" t="n">
        <v>46230</v>
      </c>
      <c r="F123" t="inlineStr">
        <is>
          <t>VÄSTRA GÖTALANDS LÄN</t>
        </is>
      </c>
      <c r="G123" t="inlineStr">
        <is>
          <t>BOLLEBYGD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46230</v>
      </c>
      <c r="F124" t="inlineStr">
        <is>
          <t>VÄSTRA GÖTALANDS LÄN</t>
        </is>
      </c>
      <c r="G124" t="inlineStr">
        <is>
          <t>BOLLEBYGD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46230</v>
      </c>
      <c r="F125" t="inlineStr">
        <is>
          <t>VÄSTRA GÖTALANDS LÄN</t>
        </is>
      </c>
      <c r="G125" t="inlineStr">
        <is>
          <t>BOLLEBYGD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46230</v>
      </c>
      <c r="F126" t="inlineStr">
        <is>
          <t>VÄSTRA GÖTALANDS LÄN</t>
        </is>
      </c>
      <c r="G126" t="inlineStr">
        <is>
          <t>BOLLEBYGD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45982</v>
      </c>
      <c r="E127" s="1" t="n">
        <v>46230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65118-2023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45288</v>
      </c>
      <c r="E128" s="1" t="n">
        <v>46230</v>
      </c>
      <c r="F128" t="inlineStr">
        <is>
          <t>VÄSTRA GÖTALANDS LÄN</t>
        </is>
      </c>
      <c r="G128" t="inlineStr">
        <is>
          <t>BOLLEBYGD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45982</v>
      </c>
      <c r="E129" s="1" t="n">
        <v>46230</v>
      </c>
      <c r="F129" t="inlineStr">
        <is>
          <t>VÄSTRA GÖTALANDS LÄN</t>
        </is>
      </c>
      <c r="G129" t="inlineStr">
        <is>
          <t>BOLLEBYGD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46230</v>
      </c>
      <c r="F130" t="inlineStr">
        <is>
          <t>VÄSTRA GÖTALANDS LÄN</t>
        </is>
      </c>
      <c r="G130" t="inlineStr">
        <is>
          <t>BOLLEBYGD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45763</v>
      </c>
      <c r="E131" s="1" t="n">
        <v>46230</v>
      </c>
      <c r="F131" t="inlineStr">
        <is>
          <t>VÄSTRA GÖTALANDS LÄN</t>
        </is>
      </c>
      <c r="G131" t="inlineStr">
        <is>
          <t>BOLLEBYGD</t>
        </is>
      </c>
      <c r="I131" t="n">
        <v>9.699999999999999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46230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46230</v>
      </c>
      <c r="F133" t="inlineStr">
        <is>
          <t>VÄSTRA GÖTALANDS LÄN</t>
        </is>
      </c>
      <c r="G133" t="inlineStr">
        <is>
          <t>BOLLEBYGD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46230</v>
      </c>
      <c r="F134" t="inlineStr">
        <is>
          <t>VÄSTRA GÖTALANDS LÄN</t>
        </is>
      </c>
      <c r="G134" t="inlineStr">
        <is>
          <t>BOLLEBYGD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46230</v>
      </c>
      <c r="F135" t="inlineStr">
        <is>
          <t>VÄSTRA GÖTALANDS LÄN</t>
        </is>
      </c>
      <c r="G135" t="inlineStr">
        <is>
          <t>BOLLEBYGD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46230</v>
      </c>
      <c r="F136" t="inlineStr">
        <is>
          <t>VÄSTRA GÖTALANDS LÄN</t>
        </is>
      </c>
      <c r="G136" t="inlineStr">
        <is>
          <t>BOLLEBYGD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46230</v>
      </c>
      <c r="F137" t="inlineStr">
        <is>
          <t>VÄSTRA GÖTALANDS LÄN</t>
        </is>
      </c>
      <c r="G137" t="inlineStr">
        <is>
          <t>BOLLEBYGD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44882</v>
      </c>
      <c r="E138" s="1" t="n">
        <v>46230</v>
      </c>
      <c r="F138" t="inlineStr">
        <is>
          <t>VÄSTRA GÖTALANDS LÄN</t>
        </is>
      </c>
      <c r="G138" t="inlineStr">
        <is>
          <t>BOLLEBYGD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46230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45180</v>
      </c>
      <c r="E140" s="1" t="n">
        <v>46230</v>
      </c>
      <c r="F140" t="inlineStr">
        <is>
          <t>VÄSTRA GÖTALANDS LÄN</t>
        </is>
      </c>
      <c r="G140" t="inlineStr">
        <is>
          <t>BOLLEBYGD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46230</v>
      </c>
      <c r="F141" t="inlineStr">
        <is>
          <t>VÄSTRA GÖTALANDS LÄN</t>
        </is>
      </c>
      <c r="G141" t="inlineStr">
        <is>
          <t>BOLLEBYGD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46230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45308</v>
      </c>
      <c r="E143" s="1" t="n">
        <v>46230</v>
      </c>
      <c r="F143" t="inlineStr">
        <is>
          <t>VÄSTRA GÖTALANDS LÄN</t>
        </is>
      </c>
      <c r="G143" t="inlineStr">
        <is>
          <t>BOLLEBYGD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46230</v>
      </c>
      <c r="F144" t="inlineStr">
        <is>
          <t>VÄSTRA GÖTALANDS LÄN</t>
        </is>
      </c>
      <c r="G144" t="inlineStr">
        <is>
          <t>BOLLEBYGD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46230</v>
      </c>
      <c r="F145" t="inlineStr">
        <is>
          <t>VÄSTRA GÖTALANDS LÄN</t>
        </is>
      </c>
      <c r="G145" t="inlineStr">
        <is>
          <t>BOLLEBYGD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45373</v>
      </c>
      <c r="E146" s="1" t="n">
        <v>46230</v>
      </c>
      <c r="F146" t="inlineStr">
        <is>
          <t>VÄSTRA GÖTALANDS LÄN</t>
        </is>
      </c>
      <c r="G146" t="inlineStr">
        <is>
          <t>BOLLEBYGD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53055-2024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45611</v>
      </c>
      <c r="E147" s="1" t="n">
        <v>46230</v>
      </c>
      <c r="F147" t="inlineStr">
        <is>
          <t>VÄSTRA GÖTALANDS LÄN</t>
        </is>
      </c>
      <c r="G147" t="inlineStr">
        <is>
          <t>BOLLEBYGD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45721</v>
      </c>
      <c r="E148" s="1" t="n">
        <v>46230</v>
      </c>
      <c r="F148" t="inlineStr">
        <is>
          <t>VÄSTRA GÖTALANDS LÄN</t>
        </is>
      </c>
      <c r="G148" t="inlineStr">
        <is>
          <t>BOLLEBYGD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64003-2025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46230</v>
      </c>
      <c r="F149" t="inlineStr">
        <is>
          <t>VÄSTRA GÖTALANDS LÄN</t>
        </is>
      </c>
      <c r="G149" t="inlineStr">
        <is>
          <t>BOLLEBYGD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46230</v>
      </c>
      <c r="F150" t="inlineStr">
        <is>
          <t>VÄSTRA GÖTALANDS LÄN</t>
        </is>
      </c>
      <c r="G150" t="inlineStr">
        <is>
          <t>BOLLEBYGD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29658-2022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44754</v>
      </c>
      <c r="E151" s="1" t="n">
        <v>46230</v>
      </c>
      <c r="F151" t="inlineStr">
        <is>
          <t>VÄSTRA GÖTALANDS LÄN</t>
        </is>
      </c>
      <c r="G151" t="inlineStr">
        <is>
          <t>BOLLEBYGD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46230</v>
      </c>
      <c r="F152" t="inlineStr">
        <is>
          <t>VÄSTRA GÖTALANDS LÄN</t>
        </is>
      </c>
      <c r="G152" t="inlineStr">
        <is>
          <t>BOLLEBYGD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57036-2024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46230</v>
      </c>
      <c r="F153" t="inlineStr">
        <is>
          <t>VÄSTRA GÖTALANDS LÄN</t>
        </is>
      </c>
      <c r="G153" t="inlineStr">
        <is>
          <t>BOLLEBYGD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46230</v>
      </c>
      <c r="F154" t="inlineStr">
        <is>
          <t>VÄSTRA GÖTALANDS LÄN</t>
        </is>
      </c>
      <c r="G154" t="inlineStr">
        <is>
          <t>BOLLEBYGD</t>
        </is>
      </c>
      <c r="H154" t="inlineStr">
        <is>
          <t>Kyrkan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46230</v>
      </c>
      <c r="F155" t="inlineStr">
        <is>
          <t>VÄSTRA GÖTALANDS LÄN</t>
        </is>
      </c>
      <c r="G155" t="inlineStr">
        <is>
          <t>BOLLEBYGD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46230</v>
      </c>
      <c r="F156" t="inlineStr">
        <is>
          <t>VÄSTRA GÖTALANDS LÄN</t>
        </is>
      </c>
      <c r="G156" t="inlineStr">
        <is>
          <t>BOLLEBYGD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12124-2024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45377</v>
      </c>
      <c r="E157" s="1" t="n">
        <v>46230</v>
      </c>
      <c r="F157" t="inlineStr">
        <is>
          <t>VÄSTRA GÖTALANDS LÄN</t>
        </is>
      </c>
      <c r="G157" t="inlineStr">
        <is>
          <t>BOLLEBYGD</t>
        </is>
      </c>
      <c r="H157" t="inlineStr">
        <is>
          <t>Kommuner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46230</v>
      </c>
      <c r="F158" t="inlineStr">
        <is>
          <t>VÄSTRA GÖTALANDS LÄN</t>
        </is>
      </c>
      <c r="G158" t="inlineStr">
        <is>
          <t>BOLLEBYGD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46230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46230</v>
      </c>
      <c r="F160" t="inlineStr">
        <is>
          <t>VÄSTRA GÖTALANDS LÄN</t>
        </is>
      </c>
      <c r="G160" t="inlineStr">
        <is>
          <t>BOLLEBYGD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46230</v>
      </c>
      <c r="F161" t="inlineStr">
        <is>
          <t>VÄSTRA GÖTALANDS LÄN</t>
        </is>
      </c>
      <c r="G161" t="inlineStr">
        <is>
          <t>BOLLEBYGD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30098-2026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46230</v>
      </c>
      <c r="F162" t="inlineStr">
        <is>
          <t>VÄSTRA GÖTALANDS LÄN</t>
        </is>
      </c>
      <c r="G162" t="inlineStr">
        <is>
          <t>BOLLEBYGD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46230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44882</v>
      </c>
      <c r="E164" s="1" t="n">
        <v>46230</v>
      </c>
      <c r="F164" t="inlineStr">
        <is>
          <t>VÄSTRA GÖTALANDS LÄN</t>
        </is>
      </c>
      <c r="G164" t="inlineStr">
        <is>
          <t>BOLLEBYGD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44658</v>
      </c>
      <c r="E165" s="1" t="n">
        <v>46230</v>
      </c>
      <c r="F165" t="inlineStr">
        <is>
          <t>VÄSTRA GÖTALANDS LÄN</t>
        </is>
      </c>
      <c r="G165" t="inlineStr">
        <is>
          <t>BOLLEBYGD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45308</v>
      </c>
      <c r="E166" s="1" t="n">
        <v>46230</v>
      </c>
      <c r="F166" t="inlineStr">
        <is>
          <t>VÄSTRA GÖTALANDS LÄN</t>
        </is>
      </c>
      <c r="G166" t="inlineStr">
        <is>
          <t>BOLLEBYGD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61334-2022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44915</v>
      </c>
      <c r="E167" s="1" t="n">
        <v>46230</v>
      </c>
      <c r="F167" t="inlineStr">
        <is>
          <t>VÄSTRA GÖTALANDS LÄN</t>
        </is>
      </c>
      <c r="G167" t="inlineStr">
        <is>
          <t>BOLLEBYGD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45604</v>
      </c>
      <c r="E168" s="1" t="n">
        <v>46230</v>
      </c>
      <c r="F168" t="inlineStr">
        <is>
          <t>VÄSTRA GÖTALANDS LÄN</t>
        </is>
      </c>
      <c r="G168" t="inlineStr">
        <is>
          <t>BOLLEBYGD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17434-2026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46120</v>
      </c>
      <c r="E169" s="1" t="n">
        <v>46230</v>
      </c>
      <c r="F169" t="inlineStr">
        <is>
          <t>VÄSTRA GÖTALANDS LÄN</t>
        </is>
      </c>
      <c r="G169" t="inlineStr">
        <is>
          <t>BOLLEBYGD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11584-2026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46230</v>
      </c>
      <c r="F170" t="inlineStr">
        <is>
          <t>VÄSTRA GÖTALANDS LÄN</t>
        </is>
      </c>
      <c r="G170" t="inlineStr">
        <is>
          <t>BOLLEBYGD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46090</v>
      </c>
      <c r="E171" s="1" t="n">
        <v>46230</v>
      </c>
      <c r="F171" t="inlineStr">
        <is>
          <t>VÄSTRA GÖTALANDS LÄN</t>
        </is>
      </c>
      <c r="G171" t="inlineStr">
        <is>
          <t>BOLLEBYGD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12469-2026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46230</v>
      </c>
      <c r="F172" t="inlineStr">
        <is>
          <t>VÄSTRA GÖTALANDS LÄN</t>
        </is>
      </c>
      <c r="G172" t="inlineStr">
        <is>
          <t>BOLLEBYGD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45701</v>
      </c>
      <c r="E173" s="1" t="n">
        <v>46230</v>
      </c>
      <c r="F173" t="inlineStr">
        <is>
          <t>VÄSTRA GÖTALANDS LÄN</t>
        </is>
      </c>
      <c r="G173" t="inlineStr">
        <is>
          <t>BOLLEBYGD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12879-2026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46092</v>
      </c>
      <c r="E174" s="1" t="n">
        <v>46230</v>
      </c>
      <c r="F174" t="inlineStr">
        <is>
          <t>VÄSTRA GÖTALANDS LÄN</t>
        </is>
      </c>
      <c r="G174" t="inlineStr">
        <is>
          <t>BOLLEBYGD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46230</v>
      </c>
      <c r="F175" t="inlineStr">
        <is>
          <t>VÄSTRA GÖTALANDS LÄN</t>
        </is>
      </c>
      <c r="G175" t="inlineStr">
        <is>
          <t>BOLLEBYGD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46230</v>
      </c>
      <c r="F176" t="inlineStr">
        <is>
          <t>VÄSTRA GÖTALANDS LÄN</t>
        </is>
      </c>
      <c r="G176" t="inlineStr">
        <is>
          <t>BOLLEBYGD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46093</v>
      </c>
      <c r="E177" s="1" t="n">
        <v>46230</v>
      </c>
      <c r="F177" t="inlineStr">
        <is>
          <t>VÄSTRA GÖTALANDS LÄN</t>
        </is>
      </c>
      <c r="G177" t="inlineStr">
        <is>
          <t>BOLLEBYGD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46230</v>
      </c>
      <c r="F178" t="inlineStr">
        <is>
          <t>VÄSTRA GÖTALANDS LÄN</t>
        </is>
      </c>
      <c r="G178" t="inlineStr">
        <is>
          <t>BOLLEBYGD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46230</v>
      </c>
      <c r="F179" t="inlineStr">
        <is>
          <t>VÄSTRA GÖTALANDS LÄN</t>
        </is>
      </c>
      <c r="G179" t="inlineStr">
        <is>
          <t>BOLLEBYGD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45624</v>
      </c>
      <c r="E180" s="1" t="n">
        <v>46230</v>
      </c>
      <c r="F180" t="inlineStr">
        <is>
          <t>VÄSTRA GÖTALANDS LÄN</t>
        </is>
      </c>
      <c r="G180" t="inlineStr">
        <is>
          <t>BOLLEBYGD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59493-2025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46230</v>
      </c>
      <c r="F181" t="inlineStr">
        <is>
          <t>VÄSTRA GÖTALANDS LÄN</t>
        </is>
      </c>
      <c r="G181" t="inlineStr">
        <is>
          <t>BOLLEBYGD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46174</v>
      </c>
      <c r="E182" s="1" t="n">
        <v>46230</v>
      </c>
      <c r="F182" t="inlineStr">
        <is>
          <t>VÄSTRA GÖTALANDS LÄN</t>
        </is>
      </c>
      <c r="G182" t="inlineStr">
        <is>
          <t>BOLLEBYGD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46230</v>
      </c>
      <c r="F183" t="inlineStr">
        <is>
          <t>VÄSTRA GÖTALANDS LÄN</t>
        </is>
      </c>
      <c r="G183" t="inlineStr">
        <is>
          <t>BOLLEBYGD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56452-2022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46230</v>
      </c>
      <c r="F184" t="inlineStr">
        <is>
          <t>VÄSTRA GÖTALANDS LÄN</t>
        </is>
      </c>
      <c r="G184" t="inlineStr">
        <is>
          <t>BOLLEBYGD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14111-2026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46099</v>
      </c>
      <c r="E185" s="1" t="n">
        <v>46230</v>
      </c>
      <c r="F185" t="inlineStr">
        <is>
          <t>VÄSTRA GÖTALANDS LÄN</t>
        </is>
      </c>
      <c r="G185" t="inlineStr">
        <is>
          <t>BOLLEBYGD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46230</v>
      </c>
      <c r="F186" t="inlineStr">
        <is>
          <t>VÄSTRA GÖTALANDS LÄN</t>
        </is>
      </c>
      <c r="G186" t="inlineStr">
        <is>
          <t>BOLLEBYGD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14545-2026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46100</v>
      </c>
      <c r="E187" s="1" t="n">
        <v>46230</v>
      </c>
      <c r="F187" t="inlineStr">
        <is>
          <t>VÄSTRA GÖTALANDS LÄN</t>
        </is>
      </c>
      <c r="G187" t="inlineStr">
        <is>
          <t>BOLLEBYGD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51314-2023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45219</v>
      </c>
      <c r="E188" s="1" t="n">
        <v>46230</v>
      </c>
      <c r="F188" t="inlineStr">
        <is>
          <t>VÄSTRA GÖTALANDS LÄN</t>
        </is>
      </c>
      <c r="G188" t="inlineStr">
        <is>
          <t>BOLLEBYGD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46230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45377</v>
      </c>
      <c r="E190" s="1" t="n">
        <v>46230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40202-2021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44418</v>
      </c>
      <c r="E191" s="1" t="n">
        <v>46230</v>
      </c>
      <c r="F191" t="inlineStr">
        <is>
          <t>VÄSTRA GÖTALANDS LÄN</t>
        </is>
      </c>
      <c r="G191" t="inlineStr">
        <is>
          <t>BOLLEBYGD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54659-2022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44883</v>
      </c>
      <c r="E192" s="1" t="n">
        <v>46230</v>
      </c>
      <c r="F192" t="inlineStr">
        <is>
          <t>VÄSTRA GÖTALANDS LÄN</t>
        </is>
      </c>
      <c r="G192" t="inlineStr">
        <is>
          <t>BOLLEBYGD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45117</v>
      </c>
      <c r="E193" s="1" t="n">
        <v>46230</v>
      </c>
      <c r="F193" t="inlineStr">
        <is>
          <t>VÄSTRA GÖTALANDS LÄN</t>
        </is>
      </c>
      <c r="G193" t="inlineStr">
        <is>
          <t>BOLLEBYGD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45568</v>
      </c>
      <c r="E194" s="1" t="n">
        <v>46230</v>
      </c>
      <c r="F194" t="inlineStr">
        <is>
          <t>VÄSTRA GÖTALANDS LÄN</t>
        </is>
      </c>
      <c r="G194" t="inlineStr">
        <is>
          <t>BOLLEBYGD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26642-2026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46184</v>
      </c>
      <c r="E195" s="1" t="n">
        <v>46230</v>
      </c>
      <c r="F195" t="inlineStr">
        <is>
          <t>VÄSTRA GÖTALANDS LÄN</t>
        </is>
      </c>
      <c r="G195" t="inlineStr">
        <is>
          <t>BOLLEBYGD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54311-2022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44882</v>
      </c>
      <c r="E196" s="1" t="n">
        <v>46230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22443-2023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46230</v>
      </c>
      <c r="F197" t="inlineStr">
        <is>
          <t>VÄSTRA GÖTALANDS LÄN</t>
        </is>
      </c>
      <c r="G197" t="inlineStr">
        <is>
          <t>BOLLEBYGD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46230</v>
      </c>
      <c r="F198" t="inlineStr">
        <is>
          <t>VÄSTRA GÖTALANDS LÄN</t>
        </is>
      </c>
      <c r="G198" t="inlineStr">
        <is>
          <t>BOLLEBYGD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61026-2022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44914</v>
      </c>
      <c r="E199" s="1" t="n">
        <v>46230</v>
      </c>
      <c r="F199" t="inlineStr">
        <is>
          <t>VÄSTRA GÖTALANDS LÄN</t>
        </is>
      </c>
      <c r="G199" t="inlineStr">
        <is>
          <t>BOLLEBYGD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46230</v>
      </c>
      <c r="F200" t="inlineStr">
        <is>
          <t>VÄSTRA GÖTALANDS LÄN</t>
        </is>
      </c>
      <c r="G200" t="inlineStr">
        <is>
          <t>BOLLEBYGD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46230</v>
      </c>
      <c r="F201" t="inlineStr">
        <is>
          <t>VÄSTRA GÖTALANDS LÄN</t>
        </is>
      </c>
      <c r="G201" t="inlineStr">
        <is>
          <t>BOLLEBYGD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44708</v>
      </c>
      <c r="E202" s="1" t="n">
        <v>46230</v>
      </c>
      <c r="F202" t="inlineStr">
        <is>
          <t>VÄSTRA GÖTALANDS LÄN</t>
        </is>
      </c>
      <c r="G202" t="inlineStr">
        <is>
          <t>BOLLEBYGD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46230</v>
      </c>
      <c r="F203" t="inlineStr">
        <is>
          <t>VÄSTRA GÖTALANDS LÄN</t>
        </is>
      </c>
      <c r="G203" t="inlineStr">
        <is>
          <t>BOLLEBYGD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45310</v>
      </c>
      <c r="E204" s="1" t="n">
        <v>46230</v>
      </c>
      <c r="F204" t="inlineStr">
        <is>
          <t>VÄSTRA GÖTALANDS LÄN</t>
        </is>
      </c>
      <c r="G204" t="inlineStr">
        <is>
          <t>BOLLEBYGD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46230</v>
      </c>
      <c r="F205" t="inlineStr">
        <is>
          <t>VÄSTRA GÖTALANDS LÄN</t>
        </is>
      </c>
      <c r="G205" t="inlineStr">
        <is>
          <t>BOLLEBYGD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46230</v>
      </c>
      <c r="F206" t="inlineStr">
        <is>
          <t>VÄSTRA GÖTALANDS LÄN</t>
        </is>
      </c>
      <c r="G206" t="inlineStr">
        <is>
          <t>BOLLEBYGD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46230</v>
      </c>
      <c r="F207" t="inlineStr">
        <is>
          <t>VÄSTRA GÖTALANDS LÄN</t>
        </is>
      </c>
      <c r="G207" t="inlineStr">
        <is>
          <t>BOLLEBYGD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28040-2024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45476</v>
      </c>
      <c r="E208" s="1" t="n">
        <v>46230</v>
      </c>
      <c r="F208" t="inlineStr">
        <is>
          <t>VÄSTRA GÖTALANDS LÄN</t>
        </is>
      </c>
      <c r="G208" t="inlineStr">
        <is>
          <t>BOLLEBYGD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44449</v>
      </c>
      <c r="E209" s="1" t="n">
        <v>46230</v>
      </c>
      <c r="F209" t="inlineStr">
        <is>
          <t>VÄSTRA GÖTALANDS LÄN</t>
        </is>
      </c>
      <c r="G209" t="inlineStr">
        <is>
          <t>BOLLEBYGD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46230</v>
      </c>
      <c r="F210" t="inlineStr">
        <is>
          <t>VÄSTRA GÖTALANDS LÄN</t>
        </is>
      </c>
      <c r="G210" t="inlineStr">
        <is>
          <t>BOLLEBYGD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11021-2022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44628</v>
      </c>
      <c r="E211" s="1" t="n">
        <v>46230</v>
      </c>
      <c r="F211" t="inlineStr">
        <is>
          <t>VÄSTRA GÖTALANDS LÄN</t>
        </is>
      </c>
      <c r="G211" t="inlineStr">
        <is>
          <t>BOLLEBYGD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11239-2023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44992</v>
      </c>
      <c r="E212" s="1" t="n">
        <v>46230</v>
      </c>
      <c r="F212" t="inlineStr">
        <is>
          <t>VÄSTRA GÖTALANDS LÄN</t>
        </is>
      </c>
      <c r="G212" t="inlineStr">
        <is>
          <t>BOLLEBYGD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46230</v>
      </c>
      <c r="F213" t="inlineStr">
        <is>
          <t>VÄSTRA GÖTALANDS LÄN</t>
        </is>
      </c>
      <c r="G213" t="inlineStr">
        <is>
          <t>BOLLEBYGD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45117</v>
      </c>
      <c r="E214" s="1" t="n">
        <v>46230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45117</v>
      </c>
      <c r="E215" s="1" t="n">
        <v>46230</v>
      </c>
      <c r="F215" t="inlineStr">
        <is>
          <t>VÄSTRA GÖTALANDS LÄN</t>
        </is>
      </c>
      <c r="G215" t="inlineStr">
        <is>
          <t>BOLLEBYGD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45624</v>
      </c>
      <c r="E216" s="1" t="n">
        <v>46230</v>
      </c>
      <c r="F216" t="inlineStr">
        <is>
          <t>VÄSTRA GÖTALANDS LÄN</t>
        </is>
      </c>
      <c r="G216" t="inlineStr">
        <is>
          <t>BOLLEBYGD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46230</v>
      </c>
      <c r="F217" t="inlineStr">
        <is>
          <t>VÄSTRA GÖTALANDS LÄN</t>
        </is>
      </c>
      <c r="G217" t="inlineStr">
        <is>
          <t>BOLLEBYGD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70708-2021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44537</v>
      </c>
      <c r="E218" s="1" t="n">
        <v>46230</v>
      </c>
      <c r="F218" t="inlineStr">
        <is>
          <t>VÄSTRA GÖTALANDS LÄN</t>
        </is>
      </c>
      <c r="G218" t="inlineStr">
        <is>
          <t>BOLLEBYGD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46230</v>
      </c>
      <c r="F219" t="inlineStr">
        <is>
          <t>VÄSTRA GÖTALANDS LÄN</t>
        </is>
      </c>
      <c r="G219" t="inlineStr">
        <is>
          <t>BOLLEBYGD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46230</v>
      </c>
      <c r="F220" t="inlineStr">
        <is>
          <t>VÄSTRA GÖTALANDS LÄN</t>
        </is>
      </c>
      <c r="G220" t="inlineStr">
        <is>
          <t>BOLLEBYGD</t>
        </is>
      </c>
      <c r="I220" t="n">
        <v>12.4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45254</v>
      </c>
      <c r="E221" s="1" t="n">
        <v>46230</v>
      </c>
      <c r="F221" t="inlineStr">
        <is>
          <t>VÄSTRA GÖTALANDS LÄN</t>
        </is>
      </c>
      <c r="G221" t="inlineStr">
        <is>
          <t>BOLLEBYGD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45112</v>
      </c>
      <c r="E222" s="1" t="n">
        <v>46230</v>
      </c>
      <c r="F222" t="inlineStr">
        <is>
          <t>VÄSTRA GÖTALANDS LÄN</t>
        </is>
      </c>
      <c r="G222" t="inlineStr">
        <is>
          <t>BOLLEBYGD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57443-2024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45629</v>
      </c>
      <c r="E223" s="1" t="n">
        <v>46230</v>
      </c>
      <c r="F223" t="inlineStr">
        <is>
          <t>VÄSTRA GÖTALANDS LÄN</t>
        </is>
      </c>
      <c r="G223" t="inlineStr">
        <is>
          <t>BOLLEBYGD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23330-2024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45453</v>
      </c>
      <c r="E224" s="1" t="n">
        <v>46230</v>
      </c>
      <c r="F224" t="inlineStr">
        <is>
          <t>VÄSTRA GÖTALANDS LÄN</t>
        </is>
      </c>
      <c r="G224" t="inlineStr">
        <is>
          <t>BOLLEBYGD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45455</v>
      </c>
      <c r="E225" s="1" t="n">
        <v>46230</v>
      </c>
      <c r="F225" t="inlineStr">
        <is>
          <t>VÄSTRA GÖTALANDS LÄN</t>
        </is>
      </c>
      <c r="G225" t="inlineStr">
        <is>
          <t>BOLLEBYGD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46230</v>
      </c>
      <c r="F226" t="inlineStr">
        <is>
          <t>VÄSTRA GÖTALANDS LÄN</t>
        </is>
      </c>
      <c r="G226" t="inlineStr">
        <is>
          <t>BOLLEBYGD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45572</v>
      </c>
      <c r="E227" s="1" t="n">
        <v>46230</v>
      </c>
      <c r="F227" t="inlineStr">
        <is>
          <t>VÄSTRA GÖTALANDS LÄN</t>
        </is>
      </c>
      <c r="G227" t="inlineStr">
        <is>
          <t>BOLLEBYGD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46230</v>
      </c>
      <c r="F228" t="inlineStr">
        <is>
          <t>VÄSTRA GÖTALANDS LÄN</t>
        </is>
      </c>
      <c r="G228" t="inlineStr">
        <is>
          <t>BOLLEBYGD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46230</v>
      </c>
      <c r="F229" t="inlineStr">
        <is>
          <t>VÄSTRA GÖTALANDS LÄN</t>
        </is>
      </c>
      <c r="G229" t="inlineStr">
        <is>
          <t>BOLLEBYGD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46230</v>
      </c>
      <c r="F230" t="inlineStr">
        <is>
          <t>VÄSTRA GÖTALANDS LÄN</t>
        </is>
      </c>
      <c r="G230" t="inlineStr">
        <is>
          <t>BOLLEBYGD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46230</v>
      </c>
      <c r="F231" t="inlineStr">
        <is>
          <t>VÄSTRA GÖTALANDS LÄN</t>
        </is>
      </c>
      <c r="G231" t="inlineStr">
        <is>
          <t>BOLLEBYGD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46230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46230</v>
      </c>
      <c r="F233" t="inlineStr">
        <is>
          <t>VÄSTRA GÖTALANDS LÄN</t>
        </is>
      </c>
      <c r="G233" t="inlineStr">
        <is>
          <t>BOLLEBYGD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45836</v>
      </c>
      <c r="E234" s="1" t="n">
        <v>46230</v>
      </c>
      <c r="F234" t="inlineStr">
        <is>
          <t>VÄSTRA GÖTALANDS LÄN</t>
        </is>
      </c>
      <c r="G234" t="inlineStr">
        <is>
          <t>BOLLEBYGD</t>
        </is>
      </c>
      <c r="I234" t="n">
        <v>11.7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46230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45476</v>
      </c>
      <c r="E236" s="1" t="n">
        <v>46230</v>
      </c>
      <c r="F236" t="inlineStr">
        <is>
          <t>VÄSTRA GÖTALANDS LÄN</t>
        </is>
      </c>
      <c r="G236" t="inlineStr">
        <is>
          <t>BOLLEBYGD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45664</v>
      </c>
      <c r="E237" s="1" t="n">
        <v>46230</v>
      </c>
      <c r="F237" t="inlineStr">
        <is>
          <t>VÄSTRA GÖTALANDS LÄN</t>
        </is>
      </c>
      <c r="G237" t="inlineStr">
        <is>
          <t>BOLLEBYGD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46230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46230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46230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2026-07-27T01:49:55Z</dcterms:created>
  <dcterms:modified xmlns:dcterms="http://purl.org/dc/terms/" xmlns:xsi="http://www.w3.org/2001/XMLSchema-instance" xsi:type="dcterms:W3CDTF">2026-07-27T01:49:56Z</dcterms:modified>
</cp:coreProperties>
</file>