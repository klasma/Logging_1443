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46305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46305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46305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46305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46305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46305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46305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46305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46305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46305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46305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46305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46305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46305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46305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46305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13115-2026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46305</v>
      </c>
      <c r="F19" t="inlineStr">
        <is>
          <t>VÄSTRA GÖTALANDS LÄN</t>
        </is>
      </c>
      <c r="G19" t="inlineStr">
        <is>
          <t>BOLLEBYGD</t>
        </is>
      </c>
      <c r="I19" t="n">
        <v>6.5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Mattlummer
Fläcknycklar</t>
        </is>
      </c>
      <c r="W19">
        <f>HYPERLINK("https://klasma.github.io/Logging_1443/artfynd/A 13115-2026 artfynd.xlsx", "A 13115-2026")</f>
        <v/>
      </c>
      <c r="X19">
        <f>HYPERLINK("https://klasma.github.io/Logging_1443/kartor/A 13115-2026 karta.png", "A 13115-2026")</f>
        <v/>
      </c>
      <c r="Y19">
        <f>HYPERLINK("https://klasma.github.io/Logging_1443/kartor_geotiff/A 13115-2026 georefererad karta.tif", "A 13115-2026")</f>
        <v/>
      </c>
      <c r="AA19">
        <f>HYPERLINK("https://klasma.github.io/Logging_1443/klagomål/A 13115-2026 FSC-klagomål.docx", "A 13115-2026")</f>
        <v/>
      </c>
      <c r="AB19">
        <f>HYPERLINK("https://klasma.github.io/Logging_1443/klagomålsmail/A 13115-2026 FSC-klagomål mail.docx", "A 13115-2026")</f>
        <v/>
      </c>
      <c r="AC19">
        <f>HYPERLINK("https://klasma.github.io/Logging_1443/tillsyn/A 13115-2026 tillsynsbegäran.docx", "A 13115-2026")</f>
        <v/>
      </c>
      <c r="AD19">
        <f>HYPERLINK("https://klasma.github.io/Logging_1443/tillsynsmail/A 13115-2026 tillsynsbegäran mail.docx", "A 13115-2026")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46305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35491-2023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46305</v>
      </c>
      <c r="F21" t="inlineStr">
        <is>
          <t>VÄSTRA GÖTALANDS LÄN</t>
        </is>
      </c>
      <c r="G21" t="inlineStr">
        <is>
          <t>BOLLEBYGD</t>
        </is>
      </c>
      <c r="I21" t="n">
        <v>3.5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HYPERLINK("https://klasma.github.io/Logging_1443/artfynd/A 35491-2023 artfynd.xlsx", "A 35491-2023")</f>
        <v/>
      </c>
      <c r="X21">
        <f>HYPERLINK("https://klasma.github.io/Logging_1443/kartor/A 35491-2023 karta.png", "A 35491-2023")</f>
        <v/>
      </c>
      <c r="Y21">
        <f>HYPERLINK("https://klasma.github.io/Logging_1443/kartor_geotiff/A 35491-2023 georefererad karta.tif", "A 35491-2023")</f>
        <v/>
      </c>
      <c r="Z21">
        <f>HYPERLINK("https://klasma.github.io/Logging_1443/knärot/A 35491-2023 karta knärot.png", "A 35491-2023")</f>
        <v/>
      </c>
      <c r="AA21">
        <f>HYPERLINK("https://klasma.github.io/Logging_1443/klagomål/A 35491-2023 FSC-klagomål.docx", "A 35491-2023")</f>
        <v/>
      </c>
      <c r="AB21">
        <f>HYPERLINK("https://klasma.github.io/Logging_1443/klagomålsmail/A 35491-2023 FSC-klagomål mail.docx", "A 35491-2023")</f>
        <v/>
      </c>
      <c r="AC21">
        <f>HYPERLINK("https://klasma.github.io/Logging_1443/tillsyn/A 35491-2023 tillsynsbegäran.docx", "A 35491-2023")</f>
        <v/>
      </c>
      <c r="AD21">
        <f>HYPERLINK("https://klasma.github.io/Logging_1443/tillsynsmail/A 35491-2023 tillsynsbegäran mail.docx", "A 35491-2023")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46305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46305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46305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23906-2024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45455</v>
      </c>
      <c r="E25" s="1" t="n">
        <v>46305</v>
      </c>
      <c r="F25" t="inlineStr">
        <is>
          <t>VÄSTRA GÖTALANDS LÄN</t>
        </is>
      </c>
      <c r="G25" t="inlineStr">
        <is>
          <t>BOLLEBYGD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23906-2024 artfynd.xlsx", "A 23906-2024")</f>
        <v/>
      </c>
      <c r="X25">
        <f>HYPERLINK("https://klasma.github.io/Logging_1443/kartor/A 23906-2024 karta.png", "A 23906-2024")</f>
        <v/>
      </c>
      <c r="Y25">
        <f>HYPERLINK("https://klasma.github.io/Logging_1443/kartor_geotiff/A 23906-2024 georefererad karta.tif", "A 23906-2024")</f>
        <v/>
      </c>
      <c r="AA25">
        <f>HYPERLINK("https://klasma.github.io/Logging_1443/klagomål/A 23906-2024 FSC-klagomål.docx", "A 23906-2024")</f>
        <v/>
      </c>
      <c r="AB25">
        <f>HYPERLINK("https://klasma.github.io/Logging_1443/klagomålsmail/A 23906-2024 FSC-klagomål mail.docx", "A 23906-2024")</f>
        <v/>
      </c>
      <c r="AC25">
        <f>HYPERLINK("https://klasma.github.io/Logging_1443/tillsyn/A 23906-2024 tillsynsbegäran.docx", "A 23906-2024")</f>
        <v/>
      </c>
      <c r="AD25">
        <f>HYPERLINK("https://klasma.github.io/Logging_1443/tillsynsmail/A 23906-2024 tillsynsbegäran mail.docx", "A 23906-2024")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46305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46305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32503-2025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46305</v>
      </c>
      <c r="F28" t="inlineStr">
        <is>
          <t>VÄSTRA GÖTALANDS LÄN</t>
        </is>
      </c>
      <c r="G28" t="inlineStr">
        <is>
          <t>BOLLEBYGD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Fällmossa</t>
        </is>
      </c>
      <c r="W28">
        <f>HYPERLINK("https://klasma.github.io/Logging_1443/artfynd/A 32503-2025 artfynd.xlsx", "A 32503-2025")</f>
        <v/>
      </c>
      <c r="X28">
        <f>HYPERLINK("https://klasma.github.io/Logging_1443/kartor/A 32503-2025 karta.png", "A 32503-2025")</f>
        <v/>
      </c>
      <c r="Y28">
        <f>HYPERLINK("https://klasma.github.io/Logging_1443/kartor_geotiff/A 32503-2025 georefererad karta.tif", "A 32503-2025")</f>
        <v/>
      </c>
      <c r="AA28">
        <f>HYPERLINK("https://klasma.github.io/Logging_1443/klagomål/A 32503-2025 FSC-klagomål.docx", "A 32503-2025")</f>
        <v/>
      </c>
      <c r="AB28">
        <f>HYPERLINK("https://klasma.github.io/Logging_1443/klagomålsmail/A 32503-2025 FSC-klagomål mail.docx", "A 32503-2025")</f>
        <v/>
      </c>
      <c r="AC28">
        <f>HYPERLINK("https://klasma.github.io/Logging_1443/tillsyn/A 32503-2025 tillsynsbegäran.docx", "A 32503-2025")</f>
        <v/>
      </c>
      <c r="AD28">
        <f>HYPERLINK("https://klasma.github.io/Logging_1443/tillsynsmail/A 32503-2025 tillsynsbegäran mail.docx", "A 32503-2025")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46305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7339-2025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45703</v>
      </c>
      <c r="E30" s="1" t="n">
        <v>46305</v>
      </c>
      <c r="F30" t="inlineStr">
        <is>
          <t>VÄSTRA GÖTALANDS LÄN</t>
        </is>
      </c>
      <c r="G30" t="inlineStr">
        <is>
          <t>BOLLEBYGD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7339-2025 artfynd.xlsx", "A 7339-2025")</f>
        <v/>
      </c>
      <c r="X30">
        <f>HYPERLINK("https://klasma.github.io/Logging_1443/kartor/A 7339-2025 karta.png", "A 7339-2025")</f>
        <v/>
      </c>
      <c r="Y30">
        <f>HYPERLINK("https://klasma.github.io/Logging_1443/kartor_geotiff/A 7339-2025 georefererad karta.tif", "A 7339-2025")</f>
        <v/>
      </c>
      <c r="AA30">
        <f>HYPERLINK("https://klasma.github.io/Logging_1443/klagomål/A 7339-2025 FSC-klagomål.docx", "A 7339-2025")</f>
        <v/>
      </c>
      <c r="AB30">
        <f>HYPERLINK("https://klasma.github.io/Logging_1443/klagomålsmail/A 7339-2025 FSC-klagomål mail.docx", "A 7339-2025")</f>
        <v/>
      </c>
      <c r="AC30">
        <f>HYPERLINK("https://klasma.github.io/Logging_1443/tillsyn/A 7339-2025 tillsynsbegäran.docx", "A 7339-2025")</f>
        <v/>
      </c>
      <c r="AD30">
        <f>HYPERLINK("https://klasma.github.io/Logging_1443/tillsynsmail/A 7339-2025 tillsynsbegäran mail.docx", "A 7339-2025")</f>
        <v/>
      </c>
    </row>
    <row r="31" ht="15" customHeight="1">
      <c r="A31" t="inlineStr">
        <is>
          <t>A 31742-2023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46305</v>
      </c>
      <c r="F31" t="inlineStr">
        <is>
          <t>VÄSTRA GÖTALANDS LÄN</t>
        </is>
      </c>
      <c r="G31" t="inlineStr">
        <is>
          <t>BOLLEBYGD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HYPERLINK("https://klasma.github.io/Logging_1443/artfynd/A 31742-2023 artfynd.xlsx", "A 31742-2023")</f>
        <v/>
      </c>
      <c r="X31">
        <f>HYPERLINK("https://klasma.github.io/Logging_1443/kartor/A 31742-2023 karta.png", "A 31742-2023")</f>
        <v/>
      </c>
      <c r="Y31">
        <f>HYPERLINK("https://klasma.github.io/Logging_1443/kartor_geotiff/A 31742-2023 georefererad karta.tif", "A 31742-2023")</f>
        <v/>
      </c>
      <c r="AA31">
        <f>HYPERLINK("https://klasma.github.io/Logging_1443/klagomål/A 31742-2023 FSC-klagomål.docx", "A 31742-2023")</f>
        <v/>
      </c>
      <c r="AB31">
        <f>HYPERLINK("https://klasma.github.io/Logging_1443/klagomålsmail/A 31742-2023 FSC-klagomål mail.docx", "A 31742-2023")</f>
        <v/>
      </c>
      <c r="AC31">
        <f>HYPERLINK("https://klasma.github.io/Logging_1443/tillsyn/A 31742-2023 tillsynsbegäran.docx", "A 31742-2023")</f>
        <v/>
      </c>
      <c r="AD31">
        <f>HYPERLINK("https://klasma.github.io/Logging_1443/tillsynsmail/A 31742-2023 tillsynsbegäran mail.docx", "A 31742-2023")</f>
        <v/>
      </c>
      <c r="AE31">
        <f>HYPERLINK("https://klasma.github.io/Logging_1443/fåglar/A 31742-2023 prioriterade fågelarter.docx", "A 31742-2023")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46305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46305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46305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46305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46305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46305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46305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46305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68882-2021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46305</v>
      </c>
      <c r="F40" t="inlineStr">
        <is>
          <t>VÄSTRA GÖTALANDS LÄN</t>
        </is>
      </c>
      <c r="G40" t="inlineStr">
        <is>
          <t>BOLLEBYGD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46305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46305</v>
      </c>
      <c r="F42" t="inlineStr">
        <is>
          <t>VÄSTRA GÖTALANDS LÄN</t>
        </is>
      </c>
      <c r="G42" t="inlineStr">
        <is>
          <t>BOLLEBYGD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46305</v>
      </c>
      <c r="F43" t="inlineStr">
        <is>
          <t>VÄSTRA GÖTALANDS LÄN</t>
        </is>
      </c>
      <c r="G43" t="inlineStr">
        <is>
          <t>BOLLEBYGD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31717-2023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46305</v>
      </c>
      <c r="F44" t="inlineStr">
        <is>
          <t>VÄSTRA GÖTALANDS LÄN</t>
        </is>
      </c>
      <c r="G44" t="inlineStr">
        <is>
          <t>BOLLEBYGD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46305</v>
      </c>
      <c r="F45" t="inlineStr">
        <is>
          <t>VÄSTRA GÖTALANDS LÄN</t>
        </is>
      </c>
      <c r="G45" t="inlineStr">
        <is>
          <t>BOLLEBYGD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46305</v>
      </c>
      <c r="F46" t="inlineStr">
        <is>
          <t>VÄSTRA GÖTALANDS LÄN</t>
        </is>
      </c>
      <c r="G46" t="inlineStr">
        <is>
          <t>BOLLEBYGD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30800-2023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46305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46305</v>
      </c>
      <c r="F48" t="inlineStr">
        <is>
          <t>VÄSTRA GÖTALANDS LÄN</t>
        </is>
      </c>
      <c r="G48" t="inlineStr">
        <is>
          <t>BOLLEBYGD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46305</v>
      </c>
      <c r="F49" t="inlineStr">
        <is>
          <t>VÄSTRA GÖTALANDS LÄN</t>
        </is>
      </c>
      <c r="G49" t="inlineStr">
        <is>
          <t>BOLLEBYGD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44726</v>
      </c>
      <c r="E50" s="1" t="n">
        <v>46305</v>
      </c>
      <c r="F50" t="inlineStr">
        <is>
          <t>VÄSTRA GÖTALANDS LÄN</t>
        </is>
      </c>
      <c r="G50" t="inlineStr">
        <is>
          <t>BOLLEBYGD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46305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46305</v>
      </c>
      <c r="F52" t="inlineStr">
        <is>
          <t>VÄSTRA GÖTALANDS LÄN</t>
        </is>
      </c>
      <c r="G52" t="inlineStr">
        <is>
          <t>BOLLEBYGD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45377</v>
      </c>
      <c r="E53" s="1" t="n">
        <v>46305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38586-2023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45162</v>
      </c>
      <c r="E54" s="1" t="n">
        <v>46305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44882</v>
      </c>
      <c r="E55" s="1" t="n">
        <v>46305</v>
      </c>
      <c r="F55" t="inlineStr">
        <is>
          <t>VÄSTRA GÖTALANDS LÄN</t>
        </is>
      </c>
      <c r="G55" t="inlineStr">
        <is>
          <t>BOLLEBYGD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45308</v>
      </c>
      <c r="E56" s="1" t="n">
        <v>46305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46305</v>
      </c>
      <c r="F57" t="inlineStr">
        <is>
          <t>VÄSTRA GÖTALANDS LÄN</t>
        </is>
      </c>
      <c r="G57" t="inlineStr">
        <is>
          <t>BOLLEBYGD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44958</v>
      </c>
      <c r="E58" s="1" t="n">
        <v>46305</v>
      </c>
      <c r="F58" t="inlineStr">
        <is>
          <t>VÄSTRA GÖTALANDS LÄN</t>
        </is>
      </c>
      <c r="G58" t="inlineStr">
        <is>
          <t>BOLLEBYGD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44914</v>
      </c>
      <c r="E59" s="1" t="n">
        <v>46305</v>
      </c>
      <c r="F59" t="inlineStr">
        <is>
          <t>VÄSTRA GÖTALANDS LÄN</t>
        </is>
      </c>
      <c r="G59" t="inlineStr">
        <is>
          <t>BOLLEBYGD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45288</v>
      </c>
      <c r="E60" s="1" t="n">
        <v>46305</v>
      </c>
      <c r="F60" t="inlineStr">
        <is>
          <t>VÄSTRA GÖTALANDS LÄN</t>
        </is>
      </c>
      <c r="G60" t="inlineStr">
        <is>
          <t>BOLLEBYGD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46305</v>
      </c>
      <c r="F61" t="inlineStr">
        <is>
          <t>VÄSTRA GÖTALANDS LÄN</t>
        </is>
      </c>
      <c r="G61" t="inlineStr">
        <is>
          <t>BOLLEBYGD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44775</v>
      </c>
      <c r="E62" s="1" t="n">
        <v>46305</v>
      </c>
      <c r="F62" t="inlineStr">
        <is>
          <t>VÄSTRA GÖTALANDS LÄN</t>
        </is>
      </c>
      <c r="G62" t="inlineStr">
        <is>
          <t>BOLLEBYGD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45624</v>
      </c>
      <c r="E63" s="1" t="n">
        <v>46305</v>
      </c>
      <c r="F63" t="inlineStr">
        <is>
          <t>VÄSTRA GÖTALANDS LÄN</t>
        </is>
      </c>
      <c r="G63" t="inlineStr">
        <is>
          <t>BOLLEBYGD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46305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25928-2023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46305</v>
      </c>
      <c r="F65" t="inlineStr">
        <is>
          <t>VÄSTRA GÖTALANDS LÄN</t>
        </is>
      </c>
      <c r="G65" t="inlineStr">
        <is>
          <t>BOLLEBYGD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46305</v>
      </c>
      <c r="F66" t="inlineStr">
        <is>
          <t>VÄSTRA GÖTALANDS LÄN</t>
        </is>
      </c>
      <c r="G66" t="inlineStr">
        <is>
          <t>BOLLEBYGD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45568</v>
      </c>
      <c r="E67" s="1" t="n">
        <v>46305</v>
      </c>
      <c r="F67" t="inlineStr">
        <is>
          <t>VÄSTRA GÖTALANDS LÄN</t>
        </is>
      </c>
      <c r="G67" t="inlineStr">
        <is>
          <t>BOLLEBYGD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45254</v>
      </c>
      <c r="E68" s="1" t="n">
        <v>46305</v>
      </c>
      <c r="F68" t="inlineStr">
        <is>
          <t>VÄSTRA GÖTALANDS LÄN</t>
        </is>
      </c>
      <c r="G68" t="inlineStr">
        <is>
          <t>BOLLEBYGD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46305</v>
      </c>
      <c r="F69" t="inlineStr">
        <is>
          <t>VÄSTRA GÖTALANDS LÄN</t>
        </is>
      </c>
      <c r="G69" t="inlineStr">
        <is>
          <t>BOLLEBYGD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46305</v>
      </c>
      <c r="F70" t="inlineStr">
        <is>
          <t>VÄSTRA GÖTALANDS LÄN</t>
        </is>
      </c>
      <c r="G70" t="inlineStr">
        <is>
          <t>BOLLEBYGD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46305</v>
      </c>
      <c r="F71" t="inlineStr">
        <is>
          <t>VÄSTRA GÖTALANDS LÄN</t>
        </is>
      </c>
      <c r="G71" t="inlineStr">
        <is>
          <t>BOLLEBYGD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46305</v>
      </c>
      <c r="F72" t="inlineStr">
        <is>
          <t>VÄSTRA GÖTALANDS LÄN</t>
        </is>
      </c>
      <c r="G72" t="inlineStr">
        <is>
          <t>BOLLEBYGD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45310</v>
      </c>
      <c r="E73" s="1" t="n">
        <v>46305</v>
      </c>
      <c r="F73" t="inlineStr">
        <is>
          <t>VÄSTRA GÖTALANDS LÄN</t>
        </is>
      </c>
      <c r="G73" t="inlineStr">
        <is>
          <t>BOLLEBYGD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46305</v>
      </c>
      <c r="F74" t="inlineStr">
        <is>
          <t>VÄSTRA GÖTALANDS LÄN</t>
        </is>
      </c>
      <c r="G74" t="inlineStr">
        <is>
          <t>BOLLEBYGD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46305</v>
      </c>
      <c r="F75" t="inlineStr">
        <is>
          <t>VÄSTRA GÖTALANDS LÄN</t>
        </is>
      </c>
      <c r="G75" t="inlineStr">
        <is>
          <t>BOLLEBYGD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59816-2021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46305</v>
      </c>
      <c r="F76" t="inlineStr">
        <is>
          <t>VÄSTRA GÖTALANDS LÄN</t>
        </is>
      </c>
      <c r="G76" t="inlineStr">
        <is>
          <t>BOLLEBYGD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46305</v>
      </c>
      <c r="F77" t="inlineStr">
        <is>
          <t>VÄSTRA GÖTALANDS LÄN</t>
        </is>
      </c>
      <c r="G77" t="inlineStr">
        <is>
          <t>BOLLEBYGD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46305</v>
      </c>
      <c r="F78" t="inlineStr">
        <is>
          <t>VÄSTRA GÖTALANDS LÄN</t>
        </is>
      </c>
      <c r="G78" t="inlineStr">
        <is>
          <t>BOLLEBYGD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45218</v>
      </c>
      <c r="E79" s="1" t="n">
        <v>46305</v>
      </c>
      <c r="F79" t="inlineStr">
        <is>
          <t>VÄSTRA GÖTALANDS LÄN</t>
        </is>
      </c>
      <c r="G79" t="inlineStr">
        <is>
          <t>BOLLEBYGD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46305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45248</v>
      </c>
      <c r="E81" s="1" t="n">
        <v>46305</v>
      </c>
      <c r="F81" t="inlineStr">
        <is>
          <t>VÄSTRA GÖTALANDS LÄN</t>
        </is>
      </c>
      <c r="G81" t="inlineStr">
        <is>
          <t>BOLLEBYGD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6745-2023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44966</v>
      </c>
      <c r="E82" s="1" t="n">
        <v>46305</v>
      </c>
      <c r="F82" t="inlineStr">
        <is>
          <t>VÄSTRA GÖTALANDS LÄN</t>
        </is>
      </c>
      <c r="G82" t="inlineStr">
        <is>
          <t>BOLLEBYGD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45288</v>
      </c>
      <c r="E83" s="1" t="n">
        <v>46305</v>
      </c>
      <c r="F83" t="inlineStr">
        <is>
          <t>VÄSTRA GÖTALANDS LÄN</t>
        </is>
      </c>
      <c r="G83" t="inlineStr">
        <is>
          <t>BOLLEBYGD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46305</v>
      </c>
      <c r="F84" t="inlineStr">
        <is>
          <t>VÄSTRA GÖTALANDS LÄN</t>
        </is>
      </c>
      <c r="G84" t="inlineStr">
        <is>
          <t>BOLLEBYGD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46305</v>
      </c>
      <c r="F85" t="inlineStr">
        <is>
          <t>VÄSTRA GÖTALANDS LÄN</t>
        </is>
      </c>
      <c r="G85" t="inlineStr">
        <is>
          <t>BOLLEBYGD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46305</v>
      </c>
      <c r="F86" t="inlineStr">
        <is>
          <t>VÄSTRA GÖTALANDS LÄN</t>
        </is>
      </c>
      <c r="G86" t="inlineStr">
        <is>
          <t>BOLLEBYGD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70708-2021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46305</v>
      </c>
      <c r="F87" t="inlineStr">
        <is>
          <t>VÄSTRA GÖTALANDS LÄN</t>
        </is>
      </c>
      <c r="G87" t="inlineStr">
        <is>
          <t>BOLLEBYGD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46305</v>
      </c>
      <c r="F88" t="inlineStr">
        <is>
          <t>VÄSTRA GÖTALANDS LÄN</t>
        </is>
      </c>
      <c r="G88" t="inlineStr">
        <is>
          <t>BOLLEBYGD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46305</v>
      </c>
      <c r="F89" t="inlineStr">
        <is>
          <t>VÄSTRA GÖTALANDS LÄN</t>
        </is>
      </c>
      <c r="G89" t="inlineStr">
        <is>
          <t>BOLLEBYGD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45303</v>
      </c>
      <c r="E90" s="1" t="n">
        <v>46305</v>
      </c>
      <c r="F90" t="inlineStr">
        <is>
          <t>VÄSTRA GÖTALANDS LÄN</t>
        </is>
      </c>
      <c r="G90" t="inlineStr">
        <is>
          <t>BOLLEBYGD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46305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23330-2024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45453</v>
      </c>
      <c r="E92" s="1" t="n">
        <v>46305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46305</v>
      </c>
      <c r="F93" t="inlineStr">
        <is>
          <t>VÄSTRA GÖTALANDS LÄN</t>
        </is>
      </c>
      <c r="G93" t="inlineStr">
        <is>
          <t>BOLLEBYGD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46305</v>
      </c>
      <c r="F94" t="inlineStr">
        <is>
          <t>VÄSTRA GÖTALANDS LÄN</t>
        </is>
      </c>
      <c r="G94" t="inlineStr">
        <is>
          <t>BOLLEBYGD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45784</v>
      </c>
      <c r="E95" s="1" t="n">
        <v>46305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46305</v>
      </c>
      <c r="F96" t="inlineStr">
        <is>
          <t>VÄSTRA GÖTALANDS LÄN</t>
        </is>
      </c>
      <c r="G96" t="inlineStr">
        <is>
          <t>BOLLEBYGD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46305</v>
      </c>
      <c r="F97" t="inlineStr">
        <is>
          <t>VÄSTRA GÖTALANDS LÄN</t>
        </is>
      </c>
      <c r="G97" t="inlineStr">
        <is>
          <t>BOLLEBYGD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45358</v>
      </c>
      <c r="E98" s="1" t="n">
        <v>46305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46305</v>
      </c>
      <c r="F99" t="inlineStr">
        <is>
          <t>VÄSTRA GÖTALANDS LÄN</t>
        </is>
      </c>
      <c r="G99" t="inlineStr">
        <is>
          <t>BOLLEBYGD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46305</v>
      </c>
      <c r="F100" t="inlineStr">
        <is>
          <t>VÄSTRA GÖTALANDS LÄN</t>
        </is>
      </c>
      <c r="G100" t="inlineStr">
        <is>
          <t>BOLLEBYGD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46305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46305</v>
      </c>
      <c r="F102" t="inlineStr">
        <is>
          <t>VÄSTRA GÖTALANDS LÄN</t>
        </is>
      </c>
      <c r="G102" t="inlineStr">
        <is>
          <t>BOLLEBYGD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46305</v>
      </c>
      <c r="F103" t="inlineStr">
        <is>
          <t>VÄSTRA GÖTALANDS LÄN</t>
        </is>
      </c>
      <c r="G103" t="inlineStr">
        <is>
          <t>BOLLEBYGD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46305</v>
      </c>
      <c r="F104" t="inlineStr">
        <is>
          <t>VÄSTRA GÖTALANDS LÄN</t>
        </is>
      </c>
      <c r="G104" t="inlineStr">
        <is>
          <t>BOLLEBYGD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45117</v>
      </c>
      <c r="E105" s="1" t="n">
        <v>46305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46305</v>
      </c>
      <c r="F106" t="inlineStr">
        <is>
          <t>VÄSTRA GÖTALANDS LÄN</t>
        </is>
      </c>
      <c r="G106" t="inlineStr">
        <is>
          <t>BOLLEBYGD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46305</v>
      </c>
      <c r="F107" t="inlineStr">
        <is>
          <t>VÄSTRA GÖTALANDS LÄN</t>
        </is>
      </c>
      <c r="G107" t="inlineStr">
        <is>
          <t>BOLLEBYGD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46305</v>
      </c>
      <c r="F108" t="inlineStr">
        <is>
          <t>VÄSTRA GÖTALANDS LÄN</t>
        </is>
      </c>
      <c r="G108" t="inlineStr">
        <is>
          <t>BOLLEBYGD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46305</v>
      </c>
      <c r="F109" t="inlineStr">
        <is>
          <t>VÄSTRA GÖTALANDS LÄN</t>
        </is>
      </c>
      <c r="G109" t="inlineStr">
        <is>
          <t>BOLLEBYGD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46305</v>
      </c>
      <c r="F110" t="inlineStr">
        <is>
          <t>VÄSTRA GÖTALANDS LÄN</t>
        </is>
      </c>
      <c r="G110" t="inlineStr">
        <is>
          <t>BOLLEBYGD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45586</v>
      </c>
      <c r="E111" s="1" t="n">
        <v>46305</v>
      </c>
      <c r="F111" t="inlineStr">
        <is>
          <t>VÄSTRA GÖTALANDS LÄN</t>
        </is>
      </c>
      <c r="G111" t="inlineStr">
        <is>
          <t>BOLLEBYGD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46305</v>
      </c>
      <c r="F112" t="inlineStr">
        <is>
          <t>VÄSTRA GÖTALANDS LÄN</t>
        </is>
      </c>
      <c r="G112" t="inlineStr">
        <is>
          <t>BOLLEBYGD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44658</v>
      </c>
      <c r="E113" s="1" t="n">
        <v>46305</v>
      </c>
      <c r="F113" t="inlineStr">
        <is>
          <t>VÄSTRA GÖTALANDS LÄN</t>
        </is>
      </c>
      <c r="G113" t="inlineStr">
        <is>
          <t>BOLLEBYGD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44946</v>
      </c>
      <c r="E114" s="1" t="n">
        <v>46305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46305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46305</v>
      </c>
      <c r="F116" t="inlineStr">
        <is>
          <t>VÄSTRA GÖTALANDS LÄN</t>
        </is>
      </c>
      <c r="G116" t="inlineStr">
        <is>
          <t>BOLLEBYGD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46305</v>
      </c>
      <c r="F117" t="inlineStr">
        <is>
          <t>VÄSTRA GÖTALANDS LÄN</t>
        </is>
      </c>
      <c r="G117" t="inlineStr">
        <is>
          <t>BOLLEBYGD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9530-2023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46305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46305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45070</v>
      </c>
      <c r="E120" s="1" t="n">
        <v>46305</v>
      </c>
      <c r="F120" t="inlineStr">
        <is>
          <t>VÄSTRA GÖTALANDS LÄN</t>
        </is>
      </c>
      <c r="G120" t="inlineStr">
        <is>
          <t>BOLLEBYGD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54295-2023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46305</v>
      </c>
      <c r="F121" t="inlineStr">
        <is>
          <t>VÄSTRA GÖTALANDS LÄN</t>
        </is>
      </c>
      <c r="G121" t="inlineStr">
        <is>
          <t>BOLLEBYGD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46305</v>
      </c>
      <c r="F122" t="inlineStr">
        <is>
          <t>VÄSTRA GÖTALANDS LÄN</t>
        </is>
      </c>
      <c r="G122" t="inlineStr">
        <is>
          <t>BOLLEBYGD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46305</v>
      </c>
      <c r="F123" t="inlineStr">
        <is>
          <t>VÄSTRA GÖTALANDS LÄN</t>
        </is>
      </c>
      <c r="G123" t="inlineStr">
        <is>
          <t>BOLLEBYGD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46305</v>
      </c>
      <c r="F124" t="inlineStr">
        <is>
          <t>VÄSTRA GÖTALANDS LÄN</t>
        </is>
      </c>
      <c r="G124" t="inlineStr">
        <is>
          <t>BOLLEBYGD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46305</v>
      </c>
      <c r="F125" t="inlineStr">
        <is>
          <t>VÄSTRA GÖTALANDS LÄN</t>
        </is>
      </c>
      <c r="G125" t="inlineStr">
        <is>
          <t>BOLLEBYGD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46305</v>
      </c>
      <c r="F126" t="inlineStr">
        <is>
          <t>VÄSTRA GÖTALANDS LÄN</t>
        </is>
      </c>
      <c r="G126" t="inlineStr">
        <is>
          <t>BOLLEBYGD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46305</v>
      </c>
      <c r="F127" t="inlineStr">
        <is>
          <t>VÄSTRA GÖTALANDS LÄN</t>
        </is>
      </c>
      <c r="G127" t="inlineStr">
        <is>
          <t>BOLLEBYGD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44683</v>
      </c>
      <c r="E128" s="1" t="n">
        <v>46305</v>
      </c>
      <c r="F128" t="inlineStr">
        <is>
          <t>VÄSTRA GÖTALANDS LÄN</t>
        </is>
      </c>
      <c r="G128" t="inlineStr">
        <is>
          <t>BOLLEBYGD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44708</v>
      </c>
      <c r="E129" s="1" t="n">
        <v>46305</v>
      </c>
      <c r="F129" t="inlineStr">
        <is>
          <t>VÄSTRA GÖTALANDS LÄN</t>
        </is>
      </c>
      <c r="G129" t="inlineStr">
        <is>
          <t>BOLLEBYGD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45476</v>
      </c>
      <c r="E130" s="1" t="n">
        <v>46305</v>
      </c>
      <c r="F130" t="inlineStr">
        <is>
          <t>VÄSTRA GÖTALANDS LÄN</t>
        </is>
      </c>
      <c r="G130" t="inlineStr">
        <is>
          <t>BOLLEBYGD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46305</v>
      </c>
      <c r="F131" t="inlineStr">
        <is>
          <t>VÄSTRA GÖTALANDS LÄN</t>
        </is>
      </c>
      <c r="G131" t="inlineStr">
        <is>
          <t>BOLLEBYGD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46305</v>
      </c>
      <c r="F132" t="inlineStr">
        <is>
          <t>VÄSTRA GÖTALANDS LÄN</t>
        </is>
      </c>
      <c r="G132" t="inlineStr">
        <is>
          <t>BOLLEBYGD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46305</v>
      </c>
      <c r="F133" t="inlineStr">
        <is>
          <t>VÄSTRA GÖTALANDS LÄN</t>
        </is>
      </c>
      <c r="G133" t="inlineStr">
        <is>
          <t>BOLLEBYGD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46305</v>
      </c>
      <c r="F134" t="inlineStr">
        <is>
          <t>VÄSTRA GÖTALANDS LÄN</t>
        </is>
      </c>
      <c r="G134" t="inlineStr">
        <is>
          <t>BOLLEBYGD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45722</v>
      </c>
      <c r="E135" s="1" t="n">
        <v>46305</v>
      </c>
      <c r="F135" t="inlineStr">
        <is>
          <t>VÄSTRA GÖTALANDS LÄN</t>
        </is>
      </c>
      <c r="G135" t="inlineStr">
        <is>
          <t>BOLLEBYGD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46305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45951</v>
      </c>
      <c r="E137" s="1" t="n">
        <v>46305</v>
      </c>
      <c r="F137" t="inlineStr">
        <is>
          <t>VÄSTRA GÖTALANDS LÄN</t>
        </is>
      </c>
      <c r="G137" t="inlineStr">
        <is>
          <t>BOLLEBYGD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45272</v>
      </c>
      <c r="E138" s="1" t="n">
        <v>46305</v>
      </c>
      <c r="F138" t="inlineStr">
        <is>
          <t>VÄSTRA GÖTALANDS LÄN</t>
        </is>
      </c>
      <c r="G138" t="inlineStr">
        <is>
          <t>BOLLEBYGD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46305</v>
      </c>
      <c r="F139" t="inlineStr">
        <is>
          <t>VÄSTRA GÖTALANDS LÄN</t>
        </is>
      </c>
      <c r="G139" t="inlineStr">
        <is>
          <t>BOLLEBYGD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46305</v>
      </c>
      <c r="F140" t="inlineStr">
        <is>
          <t>VÄSTRA GÖTALANDS LÄN</t>
        </is>
      </c>
      <c r="G140" t="inlineStr">
        <is>
          <t>BOLLEBYGD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46305</v>
      </c>
      <c r="F141" t="inlineStr">
        <is>
          <t>VÄSTRA GÖTALANDS LÄN</t>
        </is>
      </c>
      <c r="G141" t="inlineStr">
        <is>
          <t>BOLLEBYGD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46305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46305</v>
      </c>
      <c r="F143" t="inlineStr">
        <is>
          <t>VÄSTRA GÖTALANDS LÄN</t>
        </is>
      </c>
      <c r="G143" t="inlineStr">
        <is>
          <t>BOLLEBYGD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46305</v>
      </c>
      <c r="F144" t="inlineStr">
        <is>
          <t>VÄSTRA GÖTALANDS LÄN</t>
        </is>
      </c>
      <c r="G144" t="inlineStr">
        <is>
          <t>BOLLEBYGD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45836</v>
      </c>
      <c r="E145" s="1" t="n">
        <v>46305</v>
      </c>
      <c r="F145" t="inlineStr">
        <is>
          <t>VÄSTRA GÖTALANDS LÄN</t>
        </is>
      </c>
      <c r="G145" t="inlineStr">
        <is>
          <t>BOLLEBYGD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46305</v>
      </c>
      <c r="F146" t="inlineStr">
        <is>
          <t>VÄSTRA GÖTALANDS LÄN</t>
        </is>
      </c>
      <c r="G146" t="inlineStr">
        <is>
          <t>BOLLEBYGD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46305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46305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46305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46305</v>
      </c>
      <c r="F150" t="inlineStr">
        <is>
          <t>VÄSTRA GÖTALANDS LÄN</t>
        </is>
      </c>
      <c r="G150" t="inlineStr">
        <is>
          <t>BOLLEBYGD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46305</v>
      </c>
      <c r="F151" t="inlineStr">
        <is>
          <t>VÄSTRA GÖTALANDS LÄN</t>
        </is>
      </c>
      <c r="G151" t="inlineStr">
        <is>
          <t>BOLLEBYGD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51314-2023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46305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46305</v>
      </c>
      <c r="F153" t="inlineStr">
        <is>
          <t>VÄSTRA GÖTALANDS LÄN</t>
        </is>
      </c>
      <c r="G153" t="inlineStr">
        <is>
          <t>BOLLEBYGD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28158-2024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45476</v>
      </c>
      <c r="E154" s="1" t="n">
        <v>46305</v>
      </c>
      <c r="F154" t="inlineStr">
        <is>
          <t>VÄSTRA GÖTALANDS LÄN</t>
        </is>
      </c>
      <c r="G154" t="inlineStr">
        <is>
          <t>BOLLEBYGD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46305</v>
      </c>
      <c r="F155" t="inlineStr">
        <is>
          <t>VÄSTRA GÖTALANDS LÄN</t>
        </is>
      </c>
      <c r="G155" t="inlineStr">
        <is>
          <t>BOLLEBYGD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45709</v>
      </c>
      <c r="E156" s="1" t="n">
        <v>46305</v>
      </c>
      <c r="F156" t="inlineStr">
        <is>
          <t>VÄSTRA GÖTALANDS LÄN</t>
        </is>
      </c>
      <c r="G156" t="inlineStr">
        <is>
          <t>BOLLEBYGD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45872</v>
      </c>
      <c r="E157" s="1" t="n">
        <v>46305</v>
      </c>
      <c r="F157" t="inlineStr">
        <is>
          <t>VÄSTRA GÖTALANDS LÄN</t>
        </is>
      </c>
      <c r="G157" t="inlineStr">
        <is>
          <t>BOLLEBYGD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46305</v>
      </c>
      <c r="F158" t="inlineStr">
        <is>
          <t>VÄSTRA GÖTALANDS LÄN</t>
        </is>
      </c>
      <c r="G158" t="inlineStr">
        <is>
          <t>BOLLEBYGD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46305</v>
      </c>
      <c r="F159" t="inlineStr">
        <is>
          <t>VÄSTRA GÖTALANDS LÄN</t>
        </is>
      </c>
      <c r="G159" t="inlineStr">
        <is>
          <t>BOLLEBYGD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46305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46305</v>
      </c>
      <c r="F161" t="inlineStr">
        <is>
          <t>VÄSTRA GÖTALANDS LÄN</t>
        </is>
      </c>
      <c r="G161" t="inlineStr">
        <is>
          <t>BOLLEBYGD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46305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46305</v>
      </c>
      <c r="F163" t="inlineStr">
        <is>
          <t>VÄSTRA GÖTALANDS LÄN</t>
        </is>
      </c>
      <c r="G163" t="inlineStr">
        <is>
          <t>BOLLEBYGD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14545-2026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46100</v>
      </c>
      <c r="E164" s="1" t="n">
        <v>46305</v>
      </c>
      <c r="F164" t="inlineStr">
        <is>
          <t>VÄSTRA GÖTALANDS LÄN</t>
        </is>
      </c>
      <c r="G164" t="inlineStr">
        <is>
          <t>BOLLEBYGD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46305</v>
      </c>
      <c r="F165" t="inlineStr">
        <is>
          <t>VÄSTRA GÖTALANDS LÄN</t>
        </is>
      </c>
      <c r="G165" t="inlineStr">
        <is>
          <t>BOLLEBYGD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46305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46305</v>
      </c>
      <c r="F167" t="inlineStr">
        <is>
          <t>VÄSTRA GÖTALANDS LÄN</t>
        </is>
      </c>
      <c r="G167" t="inlineStr">
        <is>
          <t>BOLLEBYGD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67455-2021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44524</v>
      </c>
      <c r="E168" s="1" t="n">
        <v>46305</v>
      </c>
      <c r="F168" t="inlineStr">
        <is>
          <t>VÄSTRA GÖTALANDS LÄN</t>
        </is>
      </c>
      <c r="G168" t="inlineStr">
        <is>
          <t>BOLLEBYGD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46305</v>
      </c>
      <c r="F169" t="inlineStr">
        <is>
          <t>VÄSTRA GÖTALANDS LÄN</t>
        </is>
      </c>
      <c r="G169" t="inlineStr">
        <is>
          <t>BOLLEBYGD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45112</v>
      </c>
      <c r="E170" s="1" t="n">
        <v>46305</v>
      </c>
      <c r="F170" t="inlineStr">
        <is>
          <t>VÄSTRA GÖTALANDS LÄN</t>
        </is>
      </c>
      <c r="G170" t="inlineStr">
        <is>
          <t>BOLLEBYGD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46305</v>
      </c>
      <c r="F171" t="inlineStr">
        <is>
          <t>VÄSTRA GÖTALANDS LÄN</t>
        </is>
      </c>
      <c r="G171" t="inlineStr">
        <is>
          <t>BOLLEBYGD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46305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45993</v>
      </c>
      <c r="E173" s="1" t="n">
        <v>46305</v>
      </c>
      <c r="F173" t="inlineStr">
        <is>
          <t>VÄSTRA GÖTALANDS LÄN</t>
        </is>
      </c>
      <c r="G173" t="inlineStr">
        <is>
          <t>BOLLEBYGD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45993</v>
      </c>
      <c r="E174" s="1" t="n">
        <v>46305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46305</v>
      </c>
      <c r="F175" t="inlineStr">
        <is>
          <t>VÄSTRA GÖTALANDS LÄN</t>
        </is>
      </c>
      <c r="G175" t="inlineStr">
        <is>
          <t>BOLLEBYGD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46305</v>
      </c>
      <c r="F176" t="inlineStr">
        <is>
          <t>VÄSTRA GÖTALANDS LÄN</t>
        </is>
      </c>
      <c r="G176" t="inlineStr">
        <is>
          <t>BOLLEBYGD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46305</v>
      </c>
      <c r="F177" t="inlineStr">
        <is>
          <t>VÄSTRA GÖTALANDS LÄN</t>
        </is>
      </c>
      <c r="G177" t="inlineStr">
        <is>
          <t>BOLLEBYGD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46305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46305</v>
      </c>
      <c r="F179" t="inlineStr">
        <is>
          <t>VÄSTRA GÖTALANDS LÄN</t>
        </is>
      </c>
      <c r="G179" t="inlineStr">
        <is>
          <t>BOLLEBYGD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46305</v>
      </c>
      <c r="F180" t="inlineStr">
        <is>
          <t>VÄSTRA GÖTALANDS LÄN</t>
        </is>
      </c>
      <c r="G180" t="inlineStr">
        <is>
          <t>BOLLEBYGD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45696</v>
      </c>
      <c r="E181" s="1" t="n">
        <v>46305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46305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46305</v>
      </c>
      <c r="F183" t="inlineStr">
        <is>
          <t>VÄSTRA GÖTALANDS LÄN</t>
        </is>
      </c>
      <c r="G183" t="inlineStr">
        <is>
          <t>BOLLEBYGD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46305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46305</v>
      </c>
      <c r="F185" t="inlineStr">
        <is>
          <t>VÄSTRA GÖTALANDS LÄN</t>
        </is>
      </c>
      <c r="G185" t="inlineStr">
        <is>
          <t>BOLLEBYGD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44868</v>
      </c>
      <c r="E186" s="1" t="n">
        <v>46305</v>
      </c>
      <c r="F186" t="inlineStr">
        <is>
          <t>VÄSTRA GÖTALANDS LÄN</t>
        </is>
      </c>
      <c r="G186" t="inlineStr">
        <is>
          <t>BOLLEBYGD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45534</v>
      </c>
      <c r="E187" s="1" t="n">
        <v>46305</v>
      </c>
      <c r="F187" t="inlineStr">
        <is>
          <t>VÄSTRA GÖTALANDS LÄN</t>
        </is>
      </c>
      <c r="G187" t="inlineStr">
        <is>
          <t>BOLLEBYGD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46305</v>
      </c>
      <c r="F188" t="inlineStr">
        <is>
          <t>VÄSTRA GÖTALANDS LÄN</t>
        </is>
      </c>
      <c r="G188" t="inlineStr">
        <is>
          <t>BOLLEBYGD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46305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46305</v>
      </c>
      <c r="F190" t="inlineStr">
        <is>
          <t>VÄSTRA GÖTALANDS LÄN</t>
        </is>
      </c>
      <c r="G190" t="inlineStr">
        <is>
          <t>BOLLEBYGD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46305</v>
      </c>
      <c r="F191" t="inlineStr">
        <is>
          <t>VÄSTRA GÖTALANDS LÄN</t>
        </is>
      </c>
      <c r="G191" t="inlineStr">
        <is>
          <t>BOLLEBYGD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46305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46305</v>
      </c>
      <c r="F193" t="inlineStr">
        <is>
          <t>VÄSTRA GÖTALANDS LÄN</t>
        </is>
      </c>
      <c r="G193" t="inlineStr">
        <is>
          <t>BOLLEBYGD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46305</v>
      </c>
      <c r="F194" t="inlineStr">
        <is>
          <t>VÄSTRA GÖTALANDS LÄN</t>
        </is>
      </c>
      <c r="G194" t="inlineStr">
        <is>
          <t>BOLLEBYGD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46305</v>
      </c>
      <c r="F195" t="inlineStr">
        <is>
          <t>VÄSTRA GÖTALANDS LÄN</t>
        </is>
      </c>
      <c r="G195" t="inlineStr">
        <is>
          <t>BOLLEBYGD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46305</v>
      </c>
      <c r="F196" t="inlineStr">
        <is>
          <t>VÄSTRA GÖTALANDS LÄN</t>
        </is>
      </c>
      <c r="G196" t="inlineStr">
        <is>
          <t>BOLLEBYGD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46305</v>
      </c>
      <c r="F197" t="inlineStr">
        <is>
          <t>VÄSTRA GÖTALANDS LÄN</t>
        </is>
      </c>
      <c r="G197" t="inlineStr">
        <is>
          <t>BOLLEBYGD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46305</v>
      </c>
      <c r="F198" t="inlineStr">
        <is>
          <t>VÄSTRA GÖTALANDS LÄN</t>
        </is>
      </c>
      <c r="G198" t="inlineStr">
        <is>
          <t>BOLLEBYGD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46305</v>
      </c>
      <c r="F199" t="inlineStr">
        <is>
          <t>VÄSTRA GÖTALANDS LÄN</t>
        </is>
      </c>
      <c r="G199" t="inlineStr">
        <is>
          <t>BOLLEBYGD</t>
        </is>
      </c>
      <c r="H199" t="inlineStr">
        <is>
          <t>Kyrkan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46305</v>
      </c>
      <c r="F200" t="inlineStr">
        <is>
          <t>VÄSTRA GÖTALANDS LÄN</t>
        </is>
      </c>
      <c r="G200" t="inlineStr">
        <is>
          <t>BOLLEBYGD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46305</v>
      </c>
      <c r="F201" t="inlineStr">
        <is>
          <t>VÄSTRA GÖTALANDS LÄN</t>
        </is>
      </c>
      <c r="G201" t="inlineStr">
        <is>
          <t>BOLLEBYGD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46305</v>
      </c>
      <c r="F202" t="inlineStr">
        <is>
          <t>VÄSTRA GÖTALANDS LÄN</t>
        </is>
      </c>
      <c r="G202" t="inlineStr">
        <is>
          <t>BOLLEBYGD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46305</v>
      </c>
      <c r="F203" t="inlineStr">
        <is>
          <t>VÄSTRA GÖTALANDS LÄN</t>
        </is>
      </c>
      <c r="G203" t="inlineStr">
        <is>
          <t>BOLLEBYGD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46305</v>
      </c>
      <c r="F204" t="inlineStr">
        <is>
          <t>VÄSTRA GÖTALANDS LÄN</t>
        </is>
      </c>
      <c r="G204" t="inlineStr">
        <is>
          <t>BOLLEBYGD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46305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45276</v>
      </c>
      <c r="E206" s="1" t="n">
        <v>46305</v>
      </c>
      <c r="F206" t="inlineStr">
        <is>
          <t>VÄSTRA GÖTALANDS LÄN</t>
        </is>
      </c>
      <c r="G206" t="inlineStr">
        <is>
          <t>BOLLEBYGD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46305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46305</v>
      </c>
      <c r="F208" t="inlineStr">
        <is>
          <t>VÄSTRA GÖTALANDS LÄN</t>
        </is>
      </c>
      <c r="G208" t="inlineStr">
        <is>
          <t>BOLLEBYGD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46305</v>
      </c>
      <c r="F209" t="inlineStr">
        <is>
          <t>VÄSTRA GÖTALANDS LÄN</t>
        </is>
      </c>
      <c r="G209" t="inlineStr">
        <is>
          <t>BOLLEBYGD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46305</v>
      </c>
      <c r="F210" t="inlineStr">
        <is>
          <t>VÄSTRA GÖTALANDS LÄN</t>
        </is>
      </c>
      <c r="G210" t="inlineStr">
        <is>
          <t>BOLLEBYGD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46305</v>
      </c>
      <c r="F211" t="inlineStr">
        <is>
          <t>VÄSTRA GÖTALANDS LÄN</t>
        </is>
      </c>
      <c r="G211" t="inlineStr">
        <is>
          <t>BOLLEBYGD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46305</v>
      </c>
      <c r="F212" t="inlineStr">
        <is>
          <t>VÄSTRA GÖTALANDS LÄN</t>
        </is>
      </c>
      <c r="G212" t="inlineStr">
        <is>
          <t>BOLLEBYGD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46305</v>
      </c>
      <c r="F213" t="inlineStr">
        <is>
          <t>VÄSTRA GÖTALANDS LÄN</t>
        </is>
      </c>
      <c r="G213" t="inlineStr">
        <is>
          <t>BOLLEBYGD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12469-2026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46090</v>
      </c>
      <c r="E214" s="1" t="n">
        <v>46305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46305</v>
      </c>
      <c r="F215" t="inlineStr">
        <is>
          <t>VÄSTRA GÖTALANDS LÄN</t>
        </is>
      </c>
      <c r="G215" t="inlineStr">
        <is>
          <t>BOLLEBYGD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46305</v>
      </c>
      <c r="F216" t="inlineStr">
        <is>
          <t>VÄSTRA GÖTALANDS LÄN</t>
        </is>
      </c>
      <c r="G216" t="inlineStr">
        <is>
          <t>BOLLEBYGD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46305</v>
      </c>
      <c r="F217" t="inlineStr">
        <is>
          <t>VÄSTRA GÖTALANDS LÄN</t>
        </is>
      </c>
      <c r="G217" t="inlineStr">
        <is>
          <t>BOLLEBYGD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12879-2026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46092</v>
      </c>
      <c r="E218" s="1" t="n">
        <v>46305</v>
      </c>
      <c r="F218" t="inlineStr">
        <is>
          <t>VÄSTRA GÖTALANDS LÄN</t>
        </is>
      </c>
      <c r="G218" t="inlineStr">
        <is>
          <t>BOLLEBYGD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46305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46305</v>
      </c>
      <c r="F220" t="inlineStr">
        <is>
          <t>VÄSTRA GÖTALANDS LÄN</t>
        </is>
      </c>
      <c r="G220" t="inlineStr">
        <is>
          <t>BOLLEBYGD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46305</v>
      </c>
      <c r="F221" t="inlineStr">
        <is>
          <t>VÄSTRA GÖTALANDS LÄN</t>
        </is>
      </c>
      <c r="G221" t="inlineStr">
        <is>
          <t>BOLLEBYGD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46191</v>
      </c>
      <c r="E222" s="1" t="n">
        <v>46305</v>
      </c>
      <c r="F222" t="inlineStr">
        <is>
          <t>VÄSTRA GÖTALANDS LÄN</t>
        </is>
      </c>
      <c r="G222" t="inlineStr">
        <is>
          <t>BOLLEBYGD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46305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46272</v>
      </c>
      <c r="E224" s="1" t="n">
        <v>46305</v>
      </c>
      <c r="F224" t="inlineStr">
        <is>
          <t>VÄSTRA GÖTALANDS LÄN</t>
        </is>
      </c>
      <c r="G224" t="inlineStr">
        <is>
          <t>BOLLEBYGD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46231</v>
      </c>
      <c r="E225" s="1" t="n">
        <v>46305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Kyrkan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46305</v>
      </c>
      <c r="F226" t="inlineStr">
        <is>
          <t>VÄSTRA GÖTALANDS LÄN</t>
        </is>
      </c>
      <c r="G226" t="inlineStr">
        <is>
          <t>BOLLEBYGD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46283</v>
      </c>
      <c r="E227" s="1" t="n">
        <v>46305</v>
      </c>
      <c r="F227" t="inlineStr">
        <is>
          <t>VÄSTRA GÖTALANDS LÄN</t>
        </is>
      </c>
      <c r="G227" t="inlineStr">
        <is>
          <t>BOLLEBYGD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46305</v>
      </c>
      <c r="F228" t="inlineStr">
        <is>
          <t>VÄSTRA GÖTALANDS LÄN</t>
        </is>
      </c>
      <c r="G228" t="inlineStr">
        <is>
          <t>BOLLEBYGD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46305</v>
      </c>
      <c r="F229" t="inlineStr">
        <is>
          <t>VÄSTRA GÖTALANDS LÄN</t>
        </is>
      </c>
      <c r="G229" t="inlineStr">
        <is>
          <t>BOLLEBYGD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46290</v>
      </c>
      <c r="E230" s="1" t="n">
        <v>46305</v>
      </c>
      <c r="F230" t="inlineStr">
        <is>
          <t>VÄSTRA GÖTALANDS LÄN</t>
        </is>
      </c>
      <c r="G230" t="inlineStr">
        <is>
          <t>BOLLEBYGD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46290</v>
      </c>
      <c r="E231" s="1" t="n">
        <v>46305</v>
      </c>
      <c r="F231" t="inlineStr">
        <is>
          <t>VÄSTRA GÖTALANDS LÄN</t>
        </is>
      </c>
      <c r="G231" t="inlineStr">
        <is>
          <t>BOLLEBYGD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46290</v>
      </c>
      <c r="E232" s="1" t="n">
        <v>46305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46305</v>
      </c>
      <c r="F233" t="inlineStr">
        <is>
          <t>VÄSTRA GÖTALANDS LÄN</t>
        </is>
      </c>
      <c r="G233" t="inlineStr">
        <is>
          <t>BOLLEBYGD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46251</v>
      </c>
      <c r="E234" s="1" t="n">
        <v>46305</v>
      </c>
      <c r="F234" t="inlineStr">
        <is>
          <t>VÄSTRA GÖTALANDS LÄN</t>
        </is>
      </c>
      <c r="G234" t="inlineStr">
        <is>
          <t>BOLLEBYGD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46305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46305</v>
      </c>
      <c r="F236" t="inlineStr">
        <is>
          <t>VÄSTRA GÖTALANDS LÄN</t>
        </is>
      </c>
      <c r="G236" t="inlineStr">
        <is>
          <t>BOLLEBYGD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46305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46305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46305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46305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46305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2026-10-10T02:00:56Z</dcterms:created>
  <dcterms:modified xmlns:dcterms="http://purl.org/dc/terms/" xmlns:xsi="http://www.w3.org/2001/XMLSchema-instance" xsi:type="dcterms:W3CDTF">2026-10-10T02:00:56Z</dcterms:modified>
</cp:coreProperties>
</file>