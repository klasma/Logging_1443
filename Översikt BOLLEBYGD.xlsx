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46323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46323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46323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46323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46323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46323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46323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46323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46323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46323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46323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46323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46323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46323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60380-2025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46323</v>
      </c>
      <c r="F19" t="inlineStr">
        <is>
          <t>VÄSTRA GÖTALANDS LÄN</t>
        </is>
      </c>
      <c r="G19" t="inlineStr">
        <is>
          <t>BOLLEBYGD</t>
        </is>
      </c>
      <c r="I19" t="n">
        <v>2.5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Spillkråka
Revlummer</t>
        </is>
      </c>
      <c r="W19">
        <f>HYPERLINK("https://klasma.github.io/Logging_1443/artfynd/A 60380-2025 artfynd.xlsx", "A 60380-2025")</f>
        <v/>
      </c>
      <c r="X19">
        <f>HYPERLINK("https://klasma.github.io/Logging_1443/kartor/A 60380-2025 karta.png", "A 60380-2025")</f>
        <v/>
      </c>
      <c r="Y19">
        <f>HYPERLINK("https://klasma.github.io/Logging_1443/kartor_geotiff/A 60380-2025 georefererad karta.tif", "A 60380-2025")</f>
        <v/>
      </c>
      <c r="AA19">
        <f>HYPERLINK("https://klasma.github.io/Logging_1443/klagomål/A 60380-2025 FSC-klagomål.docx", "A 60380-2025")</f>
        <v/>
      </c>
      <c r="AB19">
        <f>HYPERLINK("https://klasma.github.io/Logging_1443/klagomålsmail/A 60380-2025 FSC-klagomål mail.docx", "A 60380-2025")</f>
        <v/>
      </c>
      <c r="AC19">
        <f>HYPERLINK("https://klasma.github.io/Logging_1443/tillsyn/A 60380-2025 tillsynsbegäran.docx", "A 60380-2025")</f>
        <v/>
      </c>
      <c r="AD19">
        <f>HYPERLINK("https://klasma.github.io/Logging_1443/tillsynsmail/A 60380-2025 tillsynsbegäran mail.docx", "A 60380-2025")</f>
        <v/>
      </c>
      <c r="AE19">
        <f>HYPERLINK("https://klasma.github.io/Logging_1443/fåglar/A 60380-2025 prioriterade fågelarter.docx", "A 60380-2025")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46323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46323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30745-2023 artfynd.xlsx", "A 30745-2023")</f>
        <v/>
      </c>
      <c r="X21">
        <f>HYPERLINK("https://klasma.github.io/Logging_1443/kartor/A 30745-2023 karta.png", "A 30745-2023")</f>
        <v/>
      </c>
      <c r="Y21">
        <f>HYPERLINK("https://klasma.github.io/Logging_1443/kartor_geotiff/A 30745-2023 georefererad karta.tif", "A 30745-2023")</f>
        <v/>
      </c>
      <c r="AA21">
        <f>HYPERLINK("https://klasma.github.io/Logging_1443/klagomål/A 30745-2023 FSC-klagomål.docx", "A 30745-2023")</f>
        <v/>
      </c>
      <c r="AB21">
        <f>HYPERLINK("https://klasma.github.io/Logging_1443/klagomålsmail/A 30745-2023 FSC-klagomål mail.docx", "A 30745-2023")</f>
        <v/>
      </c>
      <c r="AC21">
        <f>HYPERLINK("https://klasma.github.io/Logging_1443/tillsyn/A 30745-2023 tillsynsbegäran.docx", "A 30745-2023")</f>
        <v/>
      </c>
      <c r="AD21">
        <f>HYPERLINK("https://klasma.github.io/Logging_1443/tillsynsmail/A 30745-2023 tillsynsbegäran mail.docx", "A 30745-2023")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46323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46323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46323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23906-2024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45455</v>
      </c>
      <c r="E25" s="1" t="n">
        <v>46323</v>
      </c>
      <c r="F25" t="inlineStr">
        <is>
          <t>VÄSTRA GÖTALANDS LÄN</t>
        </is>
      </c>
      <c r="G25" t="inlineStr">
        <is>
          <t>BOLLEBYGD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23906-2024 artfynd.xlsx", "A 23906-2024")</f>
        <v/>
      </c>
      <c r="X25">
        <f>HYPERLINK("https://klasma.github.io/Logging_1443/kartor/A 23906-2024 karta.png", "A 23906-2024")</f>
        <v/>
      </c>
      <c r="Y25">
        <f>HYPERLINK("https://klasma.github.io/Logging_1443/kartor_geotiff/A 23906-2024 georefererad karta.tif", "A 23906-2024")</f>
        <v/>
      </c>
      <c r="AA25">
        <f>HYPERLINK("https://klasma.github.io/Logging_1443/klagomål/A 23906-2024 FSC-klagomål.docx", "A 23906-2024")</f>
        <v/>
      </c>
      <c r="AB25">
        <f>HYPERLINK("https://klasma.github.io/Logging_1443/klagomålsmail/A 23906-2024 FSC-klagomål mail.docx", "A 23906-2024")</f>
        <v/>
      </c>
      <c r="AC25">
        <f>HYPERLINK("https://klasma.github.io/Logging_1443/tillsyn/A 23906-2024 tillsynsbegäran.docx", "A 23906-2024")</f>
        <v/>
      </c>
      <c r="AD25">
        <f>HYPERLINK("https://klasma.github.io/Logging_1443/tillsynsmail/A 23906-2024 tillsynsbegäran mail.docx", "A 23906-2024")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46323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46323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7339-2025 artfynd.xlsx", "A 7339-2025")</f>
        <v/>
      </c>
      <c r="X27">
        <f>HYPERLINK("https://klasma.github.io/Logging_1443/kartor/A 7339-2025 karta.png", "A 7339-2025")</f>
        <v/>
      </c>
      <c r="Y27">
        <f>HYPERLINK("https://klasma.github.io/Logging_1443/kartor_geotiff/A 7339-2025 georefererad karta.tif", "A 7339-2025")</f>
        <v/>
      </c>
      <c r="AA27">
        <f>HYPERLINK("https://klasma.github.io/Logging_1443/klagomål/A 7339-2025 FSC-klagomål.docx", "A 7339-2025")</f>
        <v/>
      </c>
      <c r="AB27">
        <f>HYPERLINK("https://klasma.github.io/Logging_1443/klagomålsmail/A 7339-2025 FSC-klagomål mail.docx", "A 7339-2025")</f>
        <v/>
      </c>
      <c r="AC27">
        <f>HYPERLINK("https://klasma.github.io/Logging_1443/tillsyn/A 7339-2025 tillsynsbegäran.docx", "A 7339-2025")</f>
        <v/>
      </c>
      <c r="AD27">
        <f>HYPERLINK("https://klasma.github.io/Logging_1443/tillsynsmail/A 7339-2025 tillsynsbegäran mail.docx", "A 7339-2025")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46323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41586-2026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46302</v>
      </c>
      <c r="E29" s="1" t="n">
        <v>46323</v>
      </c>
      <c r="F29" t="inlineStr">
        <is>
          <t>VÄSTRA GÖTALANDS LÄN</t>
        </is>
      </c>
      <c r="G29" t="inlineStr">
        <is>
          <t>BOLLEBYGD</t>
        </is>
      </c>
      <c r="H29" t="inlineStr">
        <is>
          <t>Sveaskog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HYPERLINK("https://klasma.github.io/Logging_1443/artfynd/A 41586-2026 artfynd.xlsx", "A 41586-2026")</f>
        <v/>
      </c>
      <c r="X29">
        <f>HYPERLINK("https://klasma.github.io/Logging_1443/kartor/A 41586-2026 karta.png", "A 41586-2026")</f>
        <v/>
      </c>
      <c r="Y29">
        <f>HYPERLINK("https://klasma.github.io/Logging_1443/kartor_geotiff/A 41586-2026 georefererad karta.tif", "A 41586-2026")</f>
        <v/>
      </c>
      <c r="AA29">
        <f>HYPERLINK("https://klasma.github.io/Logging_1443/klagomål/A 41586-2026 FSC-klagomål.docx", "A 41586-2026")</f>
        <v/>
      </c>
      <c r="AB29">
        <f>HYPERLINK("https://klasma.github.io/Logging_1443/klagomålsmail/A 41586-2026 FSC-klagomål mail.docx", "A 41586-2026")</f>
        <v/>
      </c>
      <c r="AC29">
        <f>HYPERLINK("https://klasma.github.io/Logging_1443/tillsyn/A 41586-2026 tillsynsbegäran.docx", "A 41586-2026")</f>
        <v/>
      </c>
      <c r="AD29">
        <f>HYPERLINK("https://klasma.github.io/Logging_1443/tillsynsmail/A 41586-2026 tillsynsbegäran mail.docx", "A 41586-2026")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46323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35491-2023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46323</v>
      </c>
      <c r="F31" t="inlineStr">
        <is>
          <t>VÄSTRA GÖTALANDS LÄN</t>
        </is>
      </c>
      <c r="G31" t="inlineStr">
        <is>
          <t>BOLLEBYGD</t>
        </is>
      </c>
      <c r="I31" t="n">
        <v>3.5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HYPERLINK("https://klasma.github.io/Logging_1443/artfynd/A 35491-2023 artfynd.xlsx", "A 35491-2023")</f>
        <v/>
      </c>
      <c r="X31">
        <f>HYPERLINK("https://klasma.github.io/Logging_1443/kartor/A 35491-2023 karta.png", "A 35491-2023")</f>
        <v/>
      </c>
      <c r="Y31">
        <f>HYPERLINK("https://klasma.github.io/Logging_1443/kartor_geotiff/A 35491-2023 georefererad karta.tif", "A 35491-2023")</f>
        <v/>
      </c>
      <c r="Z31">
        <f>HYPERLINK("https://klasma.github.io/Logging_1443/knärot/A 35491-2023 karta knärot.png", "A 35491-2023")</f>
        <v/>
      </c>
      <c r="AA31">
        <f>HYPERLINK("https://klasma.github.io/Logging_1443/klagomål/A 35491-2023 FSC-klagomål.docx", "A 35491-2023")</f>
        <v/>
      </c>
      <c r="AB31">
        <f>HYPERLINK("https://klasma.github.io/Logging_1443/klagomålsmail/A 35491-2023 FSC-klagomål mail.docx", "A 35491-2023")</f>
        <v/>
      </c>
      <c r="AC31">
        <f>HYPERLINK("https://klasma.github.io/Logging_1443/tillsyn/A 35491-2023 tillsynsbegäran.docx", "A 35491-2023")</f>
        <v/>
      </c>
      <c r="AD31">
        <f>HYPERLINK("https://klasma.github.io/Logging_1443/tillsynsmail/A 35491-2023 tillsynsbegäran mail.docx", "A 35491-2023")</f>
        <v/>
      </c>
    </row>
    <row r="32" ht="15" customHeight="1">
      <c r="A32" t="inlineStr">
        <is>
          <t>A 32503-2025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46323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Fällmossa</t>
        </is>
      </c>
      <c r="W32">
        <f>HYPERLINK("https://klasma.github.io/Logging_1443/artfynd/A 32503-2025 artfynd.xlsx", "A 32503-2025")</f>
        <v/>
      </c>
      <c r="X32">
        <f>HYPERLINK("https://klasma.github.io/Logging_1443/kartor/A 32503-2025 karta.png", "A 32503-2025")</f>
        <v/>
      </c>
      <c r="Y32">
        <f>HYPERLINK("https://klasma.github.io/Logging_1443/kartor_geotiff/A 32503-2025 georefererad karta.tif", "A 32503-2025")</f>
        <v/>
      </c>
      <c r="AA32">
        <f>HYPERLINK("https://klasma.github.io/Logging_1443/klagomål/A 32503-2025 FSC-klagomål.docx", "A 32503-2025")</f>
        <v/>
      </c>
      <c r="AB32">
        <f>HYPERLINK("https://klasma.github.io/Logging_1443/klagomålsmail/A 32503-2025 FSC-klagomål mail.docx", "A 32503-2025")</f>
        <v/>
      </c>
      <c r="AC32">
        <f>HYPERLINK("https://klasma.github.io/Logging_1443/tillsyn/A 32503-2025 tillsynsbegäran.docx", "A 32503-2025")</f>
        <v/>
      </c>
      <c r="AD32">
        <f>HYPERLINK("https://klasma.github.io/Logging_1443/tillsynsmail/A 32503-2025 tillsynsbegäran mail.docx", "A 32503-2025")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46323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46323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46323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46323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46323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46323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46323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46323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30801-2023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46323</v>
      </c>
      <c r="F42" t="inlineStr">
        <is>
          <t>VÄSTRA GÖTALANDS LÄN</t>
        </is>
      </c>
      <c r="G42" t="inlineStr">
        <is>
          <t>BOLLEBYGD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45624</v>
      </c>
      <c r="E43" s="1" t="n">
        <v>46323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46323</v>
      </c>
      <c r="F44" t="inlineStr">
        <is>
          <t>VÄSTRA GÖTALANDS LÄN</t>
        </is>
      </c>
      <c r="G44" t="inlineStr">
        <is>
          <t>BOLLEBYGD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46323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46323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46323</v>
      </c>
      <c r="F47" t="inlineStr">
        <is>
          <t>VÄSTRA GÖTALANDS LÄN</t>
        </is>
      </c>
      <c r="G47" t="inlineStr">
        <is>
          <t>BOLLEBYGD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45310</v>
      </c>
      <c r="E48" s="1" t="n">
        <v>46323</v>
      </c>
      <c r="F48" t="inlineStr">
        <is>
          <t>VÄSTRA GÖTALANDS LÄN</t>
        </is>
      </c>
      <c r="G48" t="inlineStr">
        <is>
          <t>BOLLEBYGD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46323</v>
      </c>
      <c r="F49" t="inlineStr">
        <is>
          <t>VÄSTRA GÖTALANDS LÄN</t>
        </is>
      </c>
      <c r="G49" t="inlineStr">
        <is>
          <t>BOLLEBYGD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46323</v>
      </c>
      <c r="F50" t="inlineStr">
        <is>
          <t>VÄSTRA GÖTALANDS LÄN</t>
        </is>
      </c>
      <c r="G50" t="inlineStr">
        <is>
          <t>BOLLEBYGD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46323</v>
      </c>
      <c r="F51" t="inlineStr">
        <is>
          <t>VÄSTRA GÖTALANDS LÄN</t>
        </is>
      </c>
      <c r="G51" t="inlineStr">
        <is>
          <t>BOLLEBYGD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46323</v>
      </c>
      <c r="F52" t="inlineStr">
        <is>
          <t>VÄSTRA GÖTALANDS LÄN</t>
        </is>
      </c>
      <c r="G52" t="inlineStr">
        <is>
          <t>BOLLEBYGD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46323</v>
      </c>
      <c r="F53" t="inlineStr">
        <is>
          <t>VÄSTRA GÖTALANDS LÄN</t>
        </is>
      </c>
      <c r="G53" t="inlineStr">
        <is>
          <t>BOLLEBYGD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45248</v>
      </c>
      <c r="E54" s="1" t="n">
        <v>46323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64207-2021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44510</v>
      </c>
      <c r="E55" s="1" t="n">
        <v>46323</v>
      </c>
      <c r="F55" t="inlineStr">
        <is>
          <t>VÄSTRA GÖTALANDS LÄN</t>
        </is>
      </c>
      <c r="G55" t="inlineStr">
        <is>
          <t>BOLLEBYGD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46323</v>
      </c>
      <c r="F56" t="inlineStr">
        <is>
          <t>VÄSTRA GÖTALANDS LÄN</t>
        </is>
      </c>
      <c r="G56" t="inlineStr">
        <is>
          <t>BOLLEBYGD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46323</v>
      </c>
      <c r="F57" t="inlineStr">
        <is>
          <t>VÄSTRA GÖTALANDS LÄN</t>
        </is>
      </c>
      <c r="G57" t="inlineStr">
        <is>
          <t>BOLLEBYGD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46323</v>
      </c>
      <c r="F58" t="inlineStr">
        <is>
          <t>VÄSTRA GÖTALANDS LÄN</t>
        </is>
      </c>
      <c r="G58" t="inlineStr">
        <is>
          <t>BOLLEBYGD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51314-2023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45219</v>
      </c>
      <c r="E59" s="1" t="n">
        <v>46323</v>
      </c>
      <c r="F59" t="inlineStr">
        <is>
          <t>VÄSTRA GÖTALANDS LÄN</t>
        </is>
      </c>
      <c r="G59" t="inlineStr">
        <is>
          <t>BOLLEBYGD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46323</v>
      </c>
      <c r="F60" t="inlineStr">
        <is>
          <t>VÄSTRA GÖTALANDS LÄN</t>
        </is>
      </c>
      <c r="G60" t="inlineStr">
        <is>
          <t>BOLLEBYGD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45288</v>
      </c>
      <c r="E61" s="1" t="n">
        <v>46323</v>
      </c>
      <c r="F61" t="inlineStr">
        <is>
          <t>VÄSTRA GÖTALANDS LÄN</t>
        </is>
      </c>
      <c r="G61" t="inlineStr">
        <is>
          <t>BOLLEBYGD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46323</v>
      </c>
      <c r="F62" t="inlineStr">
        <is>
          <t>VÄSTRA GÖTALANDS LÄN</t>
        </is>
      </c>
      <c r="G62" t="inlineStr">
        <is>
          <t>BOLLEBYGD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46323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60792-2022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44914</v>
      </c>
      <c r="E64" s="1" t="n">
        <v>46323</v>
      </c>
      <c r="F64" t="inlineStr">
        <is>
          <t>VÄSTRA GÖTALANDS LÄN</t>
        </is>
      </c>
      <c r="G64" t="inlineStr">
        <is>
          <t>BOLLEBYGD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46323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18337-2023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46323</v>
      </c>
      <c r="F66" t="inlineStr">
        <is>
          <t>VÄSTRA GÖTALANDS LÄN</t>
        </is>
      </c>
      <c r="G66" t="inlineStr">
        <is>
          <t>BOLLEBYGD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40774-2025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46323</v>
      </c>
      <c r="F67" t="inlineStr">
        <is>
          <t>VÄSTRA GÖTALANDS LÄN</t>
        </is>
      </c>
      <c r="G67" t="inlineStr">
        <is>
          <t>BOLLEBYGD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45071</v>
      </c>
      <c r="E68" s="1" t="n">
        <v>46323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54287-2022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46323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45471</v>
      </c>
      <c r="E70" s="1" t="n">
        <v>46323</v>
      </c>
      <c r="F70" t="inlineStr">
        <is>
          <t>VÄSTRA GÖTALANDS LÄN</t>
        </is>
      </c>
      <c r="G70" t="inlineStr">
        <is>
          <t>BOLLEBYGD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46323</v>
      </c>
      <c r="F71" t="inlineStr">
        <is>
          <t>VÄSTRA GÖTALANDS LÄN</t>
        </is>
      </c>
      <c r="G71" t="inlineStr">
        <is>
          <t>BOLLEBYGD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44883</v>
      </c>
      <c r="E72" s="1" t="n">
        <v>46323</v>
      </c>
      <c r="F72" t="inlineStr">
        <is>
          <t>VÄSTRA GÖTALANDS LÄN</t>
        </is>
      </c>
      <c r="G72" t="inlineStr">
        <is>
          <t>BOLLEBYGD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46323</v>
      </c>
      <c r="F73" t="inlineStr">
        <is>
          <t>VÄSTRA GÖTALANDS LÄN</t>
        </is>
      </c>
      <c r="G73" t="inlineStr">
        <is>
          <t>BOLLEBYGD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46323</v>
      </c>
      <c r="F74" t="inlineStr">
        <is>
          <t>VÄSTRA GÖTALANDS LÄN</t>
        </is>
      </c>
      <c r="G74" t="inlineStr">
        <is>
          <t>BOLLEBYGD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67455-2021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46323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46323</v>
      </c>
      <c r="F76" t="inlineStr">
        <is>
          <t>VÄSTRA GÖTALANDS LÄN</t>
        </is>
      </c>
      <c r="G76" t="inlineStr">
        <is>
          <t>BOLLEBYGD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46323</v>
      </c>
      <c r="F77" t="inlineStr">
        <is>
          <t>VÄSTRA GÖTALANDS LÄN</t>
        </is>
      </c>
      <c r="G77" t="inlineStr">
        <is>
          <t>BOLLEBYGD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22834-2024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46323</v>
      </c>
      <c r="F78" t="inlineStr">
        <is>
          <t>VÄSTRA GÖTALANDS LÄN</t>
        </is>
      </c>
      <c r="G78" t="inlineStr">
        <is>
          <t>BOLLEBYGD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46323</v>
      </c>
      <c r="F79" t="inlineStr">
        <is>
          <t>VÄSTRA GÖTALANDS LÄN</t>
        </is>
      </c>
      <c r="G79" t="inlineStr">
        <is>
          <t>BOLLEBYGD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46323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46323</v>
      </c>
      <c r="F81" t="inlineStr">
        <is>
          <t>VÄSTRA GÖTALANDS LÄN</t>
        </is>
      </c>
      <c r="G81" t="inlineStr">
        <is>
          <t>BOLLEBYGD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46323</v>
      </c>
      <c r="F82" t="inlineStr">
        <is>
          <t>VÄSTRA GÖTALANDS LÄN</t>
        </is>
      </c>
      <c r="G82" t="inlineStr">
        <is>
          <t>BOLLEBYGD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44946</v>
      </c>
      <c r="E83" s="1" t="n">
        <v>46323</v>
      </c>
      <c r="F83" t="inlineStr">
        <is>
          <t>VÄSTRA GÖTALANDS LÄN</t>
        </is>
      </c>
      <c r="G83" t="inlineStr">
        <is>
          <t>BOLLEBYGD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45117</v>
      </c>
      <c r="E84" s="1" t="n">
        <v>46323</v>
      </c>
      <c r="F84" t="inlineStr">
        <is>
          <t>VÄSTRA GÖTALANDS LÄN</t>
        </is>
      </c>
      <c r="G84" t="inlineStr">
        <is>
          <t>BOLLEBYGD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45117</v>
      </c>
      <c r="E85" s="1" t="n">
        <v>46323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46323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46323</v>
      </c>
      <c r="F87" t="inlineStr">
        <is>
          <t>VÄSTRA GÖTALANDS LÄN</t>
        </is>
      </c>
      <c r="G87" t="inlineStr">
        <is>
          <t>BOLLEBYGD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46323</v>
      </c>
      <c r="F88" t="inlineStr">
        <is>
          <t>VÄSTRA GÖTALANDS LÄN</t>
        </is>
      </c>
      <c r="G88" t="inlineStr">
        <is>
          <t>BOLLEBYGD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46323</v>
      </c>
      <c r="F89" t="inlineStr">
        <is>
          <t>VÄSTRA GÖTALANDS LÄN</t>
        </is>
      </c>
      <c r="G89" t="inlineStr">
        <is>
          <t>BOLLEBYGD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46323</v>
      </c>
      <c r="F90" t="inlineStr">
        <is>
          <t>VÄSTRA GÖTALANDS LÄN</t>
        </is>
      </c>
      <c r="G90" t="inlineStr">
        <is>
          <t>BOLLEBYGD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46323</v>
      </c>
      <c r="F91" t="inlineStr">
        <is>
          <t>VÄSTRA GÖTALANDS LÄN</t>
        </is>
      </c>
      <c r="G91" t="inlineStr">
        <is>
          <t>BOLLEBYGD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45303</v>
      </c>
      <c r="E92" s="1" t="n">
        <v>46323</v>
      </c>
      <c r="F92" t="inlineStr">
        <is>
          <t>VÄSTRA GÖTALANDS LÄN</t>
        </is>
      </c>
      <c r="G92" t="inlineStr">
        <is>
          <t>BOLLEBYGD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46323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46323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46323</v>
      </c>
      <c r="F95" t="inlineStr">
        <is>
          <t>VÄSTRA GÖTALANDS LÄN</t>
        </is>
      </c>
      <c r="G95" t="inlineStr">
        <is>
          <t>BOLLEBYGD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46323</v>
      </c>
      <c r="F96" t="inlineStr">
        <is>
          <t>VÄSTRA GÖTALANDS LÄN</t>
        </is>
      </c>
      <c r="G96" t="inlineStr">
        <is>
          <t>BOLLEBYGD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46323</v>
      </c>
      <c r="F97" t="inlineStr">
        <is>
          <t>VÄSTRA GÖTALANDS LÄN</t>
        </is>
      </c>
      <c r="G97" t="inlineStr">
        <is>
          <t>BOLLEBYGD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23330-2024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45453</v>
      </c>
      <c r="E98" s="1" t="n">
        <v>46323</v>
      </c>
      <c r="F98" t="inlineStr">
        <is>
          <t>VÄSTRA GÖTALANDS LÄN</t>
        </is>
      </c>
      <c r="G98" t="inlineStr">
        <is>
          <t>BOLLEBYGD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46323</v>
      </c>
      <c r="F99" t="inlineStr">
        <is>
          <t>VÄSTRA GÖTALANDS LÄN</t>
        </is>
      </c>
      <c r="G99" t="inlineStr">
        <is>
          <t>BOLLEBYGD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46323</v>
      </c>
      <c r="F100" t="inlineStr">
        <is>
          <t>VÄSTRA GÖTALANDS LÄN</t>
        </is>
      </c>
      <c r="G100" t="inlineStr">
        <is>
          <t>BOLLEBYGD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45288</v>
      </c>
      <c r="E101" s="1" t="n">
        <v>46323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46323</v>
      </c>
      <c r="F102" t="inlineStr">
        <is>
          <t>VÄSTRA GÖTALANDS LÄN</t>
        </is>
      </c>
      <c r="G102" t="inlineStr">
        <is>
          <t>BOLLEBYGD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46323</v>
      </c>
      <c r="F103" t="inlineStr">
        <is>
          <t>VÄSTRA GÖTALANDS LÄN</t>
        </is>
      </c>
      <c r="G103" t="inlineStr">
        <is>
          <t>BOLLEBYGD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46323</v>
      </c>
      <c r="F104" t="inlineStr">
        <is>
          <t>VÄSTRA GÖTALANDS LÄN</t>
        </is>
      </c>
      <c r="G104" t="inlineStr">
        <is>
          <t>BOLLEBYGD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46323</v>
      </c>
      <c r="F105" t="inlineStr">
        <is>
          <t>VÄSTRA GÖTALANDS LÄN</t>
        </is>
      </c>
      <c r="G105" t="inlineStr">
        <is>
          <t>BOLLEBYGD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46323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46323</v>
      </c>
      <c r="F107" t="inlineStr">
        <is>
          <t>VÄSTRA GÖTALANDS LÄN</t>
        </is>
      </c>
      <c r="G107" t="inlineStr">
        <is>
          <t>BOLLEBYGD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46323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46323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46323</v>
      </c>
      <c r="F110" t="inlineStr">
        <is>
          <t>VÄSTRA GÖTALANDS LÄN</t>
        </is>
      </c>
      <c r="G110" t="inlineStr">
        <is>
          <t>BOLLEBYGD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46323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46323</v>
      </c>
      <c r="F112" t="inlineStr">
        <is>
          <t>VÄSTRA GÖTALANDS LÄN</t>
        </is>
      </c>
      <c r="G112" t="inlineStr">
        <is>
          <t>BOLLEBYGD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44966</v>
      </c>
      <c r="E113" s="1" t="n">
        <v>46323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45784</v>
      </c>
      <c r="E114" s="1" t="n">
        <v>46323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15112-2022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44658</v>
      </c>
      <c r="E115" s="1" t="n">
        <v>46323</v>
      </c>
      <c r="F115" t="inlineStr">
        <is>
          <t>VÄSTRA GÖTALANDS LÄN</t>
        </is>
      </c>
      <c r="G115" t="inlineStr">
        <is>
          <t>BOLLEBYGD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46323</v>
      </c>
      <c r="F116" t="inlineStr">
        <is>
          <t>VÄSTRA GÖTALANDS LÄN</t>
        </is>
      </c>
      <c r="G116" t="inlineStr">
        <is>
          <t>BOLLEBYGD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46323</v>
      </c>
      <c r="F117" t="inlineStr">
        <is>
          <t>VÄSTRA GÖTALANDS LÄN</t>
        </is>
      </c>
      <c r="G117" t="inlineStr">
        <is>
          <t>BOLLEBYGD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46323</v>
      </c>
      <c r="F118" t="inlineStr">
        <is>
          <t>VÄSTRA GÖTALANDS LÄN</t>
        </is>
      </c>
      <c r="G118" t="inlineStr">
        <is>
          <t>BOLLEBYGD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45308</v>
      </c>
      <c r="E119" s="1" t="n">
        <v>46323</v>
      </c>
      <c r="F119" t="inlineStr">
        <is>
          <t>VÄSTRA GÖTALANDS LÄN</t>
        </is>
      </c>
      <c r="G119" t="inlineStr">
        <is>
          <t>BOLLEBYGD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46323</v>
      </c>
      <c r="F120" t="inlineStr">
        <is>
          <t>VÄSTRA GÖTALANDS LÄN</t>
        </is>
      </c>
      <c r="G120" t="inlineStr">
        <is>
          <t>BOLLEBYGD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46323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45070</v>
      </c>
      <c r="E122" s="1" t="n">
        <v>46323</v>
      </c>
      <c r="F122" t="inlineStr">
        <is>
          <t>VÄSTRA GÖTALANDS LÄN</t>
        </is>
      </c>
      <c r="G122" t="inlineStr">
        <is>
          <t>BOLLEBYGD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46323</v>
      </c>
      <c r="F123" t="inlineStr">
        <is>
          <t>VÄSTRA GÖTALANDS LÄN</t>
        </is>
      </c>
      <c r="G123" t="inlineStr">
        <is>
          <t>BOLLEBYGD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46323</v>
      </c>
      <c r="F124" t="inlineStr">
        <is>
          <t>VÄSTRA GÖTALANDS LÄN</t>
        </is>
      </c>
      <c r="G124" t="inlineStr">
        <is>
          <t>BOLLEBYGD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46323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46323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46323</v>
      </c>
      <c r="F127" t="inlineStr">
        <is>
          <t>VÄSTRA GÖTALANDS LÄN</t>
        </is>
      </c>
      <c r="G127" t="inlineStr">
        <is>
          <t>BOLLEBYGD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45763</v>
      </c>
      <c r="E128" s="1" t="n">
        <v>46323</v>
      </c>
      <c r="F128" t="inlineStr">
        <is>
          <t>VÄSTRA GÖTALANDS LÄN</t>
        </is>
      </c>
      <c r="G128" t="inlineStr">
        <is>
          <t>BOLLEBYGD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46323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46323</v>
      </c>
      <c r="F130" t="inlineStr">
        <is>
          <t>VÄSTRA GÖTALANDS LÄN</t>
        </is>
      </c>
      <c r="G130" t="inlineStr">
        <is>
          <t>BOLLEBYGD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46323</v>
      </c>
      <c r="F131" t="inlineStr">
        <is>
          <t>VÄSTRA GÖTALANDS LÄN</t>
        </is>
      </c>
      <c r="G131" t="inlineStr">
        <is>
          <t>BOLLEBYGD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46323</v>
      </c>
      <c r="F132" t="inlineStr">
        <is>
          <t>VÄSTRA GÖTALANDS LÄN</t>
        </is>
      </c>
      <c r="G132" t="inlineStr">
        <is>
          <t>BOLLEBYGD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46323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46323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46323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46323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46323</v>
      </c>
      <c r="F137" t="inlineStr">
        <is>
          <t>VÄSTRA GÖTALANDS LÄN</t>
        </is>
      </c>
      <c r="G137" t="inlineStr">
        <is>
          <t>BOLLEBYGD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46323</v>
      </c>
      <c r="F138" t="inlineStr">
        <is>
          <t>VÄSTRA GÖTALANDS LÄN</t>
        </is>
      </c>
      <c r="G138" t="inlineStr">
        <is>
          <t>BOLLEBYGD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46323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46323</v>
      </c>
      <c r="F140" t="inlineStr">
        <is>
          <t>VÄSTRA GÖTALANDS LÄN</t>
        </is>
      </c>
      <c r="G140" t="inlineStr">
        <is>
          <t>BOLLEBYGD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45721</v>
      </c>
      <c r="E141" s="1" t="n">
        <v>46323</v>
      </c>
      <c r="F141" t="inlineStr">
        <is>
          <t>VÄSTRA GÖTALANDS LÄN</t>
        </is>
      </c>
      <c r="G141" t="inlineStr">
        <is>
          <t>BOLLEBYGD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46323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46323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44602</v>
      </c>
      <c r="E144" s="1" t="n">
        <v>46323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46323</v>
      </c>
      <c r="F145" t="inlineStr">
        <is>
          <t>VÄSTRA GÖTALANDS LÄN</t>
        </is>
      </c>
      <c r="G145" t="inlineStr">
        <is>
          <t>BOLLEBYGD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46323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46323</v>
      </c>
      <c r="F147" t="inlineStr">
        <is>
          <t>VÄSTRA GÖTALANDS LÄN</t>
        </is>
      </c>
      <c r="G147" t="inlineStr">
        <is>
          <t>BOLLEBYGD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46323</v>
      </c>
      <c r="F148" t="inlineStr">
        <is>
          <t>VÄSTRA GÖTALANDS LÄN</t>
        </is>
      </c>
      <c r="G148" t="inlineStr">
        <is>
          <t>BOLLEBYGD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46323</v>
      </c>
      <c r="F149" t="inlineStr">
        <is>
          <t>VÄSTRA GÖTALANDS LÄN</t>
        </is>
      </c>
      <c r="G149" t="inlineStr">
        <is>
          <t>BOLLEBYGD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17925-2022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44683</v>
      </c>
      <c r="E150" s="1" t="n">
        <v>46323</v>
      </c>
      <c r="F150" t="inlineStr">
        <is>
          <t>VÄSTRA GÖTALANDS LÄN</t>
        </is>
      </c>
      <c r="G150" t="inlineStr">
        <is>
          <t>BOLLEBYGD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46323</v>
      </c>
      <c r="F151" t="inlineStr">
        <is>
          <t>VÄSTRA GÖTALANDS LÄN</t>
        </is>
      </c>
      <c r="G151" t="inlineStr">
        <is>
          <t>BOLLEBYGD</t>
        </is>
      </c>
      <c r="H151" t="inlineStr">
        <is>
          <t>Kyrkan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44708</v>
      </c>
      <c r="E152" s="1" t="n">
        <v>46323</v>
      </c>
      <c r="F152" t="inlineStr">
        <is>
          <t>VÄSTRA GÖTALANDS LÄN</t>
        </is>
      </c>
      <c r="G152" t="inlineStr">
        <is>
          <t>BOLLEBYGD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46323</v>
      </c>
      <c r="F153" t="inlineStr">
        <is>
          <t>VÄSTRA GÖTALANDS LÄN</t>
        </is>
      </c>
      <c r="G153" t="inlineStr">
        <is>
          <t>BOLLEBYGD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46323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46323</v>
      </c>
      <c r="F155" t="inlineStr">
        <is>
          <t>VÄSTRA GÖTALANDS LÄN</t>
        </is>
      </c>
      <c r="G155" t="inlineStr">
        <is>
          <t>BOLLEBYGD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46323</v>
      </c>
      <c r="F156" t="inlineStr">
        <is>
          <t>VÄSTRA GÖTALANDS LÄN</t>
        </is>
      </c>
      <c r="G156" t="inlineStr">
        <is>
          <t>BOLLEBYGD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46323</v>
      </c>
      <c r="F157" t="inlineStr">
        <is>
          <t>VÄSTRA GÖTALANDS LÄN</t>
        </is>
      </c>
      <c r="G157" t="inlineStr">
        <is>
          <t>BOLLEBYGD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46323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46323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46323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46323</v>
      </c>
      <c r="F161" t="inlineStr">
        <is>
          <t>VÄSTRA GÖTALANDS LÄN</t>
        </is>
      </c>
      <c r="G161" t="inlineStr">
        <is>
          <t>BOLLEBYGD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46323</v>
      </c>
      <c r="F162" t="inlineStr">
        <is>
          <t>VÄSTRA GÖTALANDS LÄN</t>
        </is>
      </c>
      <c r="G162" t="inlineStr">
        <is>
          <t>BOLLEBYGD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46323</v>
      </c>
      <c r="F163" t="inlineStr">
        <is>
          <t>VÄSTRA GÖTALANDS LÄN</t>
        </is>
      </c>
      <c r="G163" t="inlineStr">
        <is>
          <t>BOLLEBYGD</t>
        </is>
      </c>
      <c r="H163" t="inlineStr">
        <is>
          <t>Kyrkan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46323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46323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46283</v>
      </c>
      <c r="E166" s="1" t="n">
        <v>46323</v>
      </c>
      <c r="F166" t="inlineStr">
        <is>
          <t>VÄSTRA GÖTALANDS LÄN</t>
        </is>
      </c>
      <c r="G166" t="inlineStr">
        <is>
          <t>BOLLEBYGD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46283</v>
      </c>
      <c r="E167" s="1" t="n">
        <v>46323</v>
      </c>
      <c r="F167" t="inlineStr">
        <is>
          <t>VÄSTRA GÖTALANDS LÄN</t>
        </is>
      </c>
      <c r="G167" t="inlineStr">
        <is>
          <t>BOLLEBYGD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46323</v>
      </c>
      <c r="F168" t="inlineStr">
        <is>
          <t>VÄSTRA GÖTALANDS LÄN</t>
        </is>
      </c>
      <c r="G168" t="inlineStr">
        <is>
          <t>BOLLEBYGD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46288</v>
      </c>
      <c r="E169" s="1" t="n">
        <v>46323</v>
      </c>
      <c r="F169" t="inlineStr">
        <is>
          <t>VÄSTRA GÖTALANDS LÄN</t>
        </is>
      </c>
      <c r="G169" t="inlineStr">
        <is>
          <t>BOLLEBYGD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46323</v>
      </c>
      <c r="F170" t="inlineStr">
        <is>
          <t>VÄSTRA GÖTALANDS LÄN</t>
        </is>
      </c>
      <c r="G170" t="inlineStr">
        <is>
          <t>BOLLEBYGD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46323</v>
      </c>
      <c r="F171" t="inlineStr">
        <is>
          <t>VÄSTRA GÖTALANDS LÄN</t>
        </is>
      </c>
      <c r="G171" t="inlineStr">
        <is>
          <t>BOLLEBYGD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46323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46323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46290</v>
      </c>
      <c r="E174" s="1" t="n">
        <v>46323</v>
      </c>
      <c r="F174" t="inlineStr">
        <is>
          <t>VÄSTRA GÖTALANDS LÄN</t>
        </is>
      </c>
      <c r="G174" t="inlineStr">
        <is>
          <t>BOLLEBYGD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46323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46323</v>
      </c>
      <c r="F176" t="inlineStr">
        <is>
          <t>VÄSTRA GÖTALANDS LÄN</t>
        </is>
      </c>
      <c r="G176" t="inlineStr">
        <is>
          <t>BOLLEBYGD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12879-2026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46092</v>
      </c>
      <c r="E177" s="1" t="n">
        <v>46323</v>
      </c>
      <c r="F177" t="inlineStr">
        <is>
          <t>VÄSTRA GÖTALANDS LÄN</t>
        </is>
      </c>
      <c r="G177" t="inlineStr">
        <is>
          <t>BOLLEBYGD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46323</v>
      </c>
      <c r="F178" t="inlineStr">
        <is>
          <t>VÄSTRA GÖTALANDS LÄN</t>
        </is>
      </c>
      <c r="G178" t="inlineStr">
        <is>
          <t>BOLLEBYGD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46290</v>
      </c>
      <c r="E179" s="1" t="n">
        <v>46323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46323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46323</v>
      </c>
      <c r="F181" t="inlineStr">
        <is>
          <t>VÄSTRA GÖTALANDS LÄN</t>
        </is>
      </c>
      <c r="G181" t="inlineStr">
        <is>
          <t>BOLLEBYGD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14545-2026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46100</v>
      </c>
      <c r="E182" s="1" t="n">
        <v>46323</v>
      </c>
      <c r="F182" t="inlineStr">
        <is>
          <t>VÄSTRA GÖTALANDS LÄN</t>
        </is>
      </c>
      <c r="G182" t="inlineStr">
        <is>
          <t>BOLLEBYGD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46323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46323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46323</v>
      </c>
      <c r="F185" t="inlineStr">
        <is>
          <t>VÄSTRA GÖTALANDS LÄN</t>
        </is>
      </c>
      <c r="G185" t="inlineStr">
        <is>
          <t>BOLLEBYGD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46323</v>
      </c>
      <c r="F186" t="inlineStr">
        <is>
          <t>VÄSTRA GÖTALANDS LÄN</t>
        </is>
      </c>
      <c r="G186" t="inlineStr">
        <is>
          <t>BOLLEBYGD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46323</v>
      </c>
      <c r="F187" t="inlineStr">
        <is>
          <t>VÄSTRA GÖTALANDS LÄN</t>
        </is>
      </c>
      <c r="G187" t="inlineStr">
        <is>
          <t>BOLLEBYGD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46323</v>
      </c>
      <c r="F188" t="inlineStr">
        <is>
          <t>VÄSTRA GÖTALANDS LÄN</t>
        </is>
      </c>
      <c r="G188" t="inlineStr">
        <is>
          <t>BOLLEBYGD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46323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46323</v>
      </c>
      <c r="F190" t="inlineStr">
        <is>
          <t>VÄSTRA GÖTALANDS LÄN</t>
        </is>
      </c>
      <c r="G190" t="inlineStr">
        <is>
          <t>BOLLEBYGD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46323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46323</v>
      </c>
      <c r="F192" t="inlineStr">
        <is>
          <t>VÄSTRA GÖTALANDS LÄN</t>
        </is>
      </c>
      <c r="G192" t="inlineStr">
        <is>
          <t>BOLLEBYGD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46259</v>
      </c>
      <c r="E193" s="1" t="n">
        <v>46323</v>
      </c>
      <c r="F193" t="inlineStr">
        <is>
          <t>VÄSTRA GÖTALANDS LÄN</t>
        </is>
      </c>
      <c r="G193" t="inlineStr">
        <is>
          <t>BOLLEBYGD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35072-2026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46259</v>
      </c>
      <c r="E194" s="1" t="n">
        <v>46323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46323</v>
      </c>
      <c r="F195" t="inlineStr">
        <is>
          <t>VÄSTRA GÖTALANDS LÄN</t>
        </is>
      </c>
      <c r="G195" t="inlineStr">
        <is>
          <t>BOLLEBYGD</t>
        </is>
      </c>
      <c r="H195" t="inlineStr">
        <is>
          <t>Kommuner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45696</v>
      </c>
      <c r="E196" s="1" t="n">
        <v>46323</v>
      </c>
      <c r="F196" t="inlineStr">
        <is>
          <t>VÄSTRA GÖTALANDS LÄN</t>
        </is>
      </c>
      <c r="G196" t="inlineStr">
        <is>
          <t>BOLLEBYGD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44868</v>
      </c>
      <c r="E197" s="1" t="n">
        <v>46323</v>
      </c>
      <c r="F197" t="inlineStr">
        <is>
          <t>VÄSTRA GÖTALANDS LÄN</t>
        </is>
      </c>
      <c r="G197" t="inlineStr">
        <is>
          <t>BOLLEBYGD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46323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46323</v>
      </c>
      <c r="F199" t="inlineStr">
        <is>
          <t>VÄSTRA GÖTALANDS LÄN</t>
        </is>
      </c>
      <c r="G199" t="inlineStr">
        <is>
          <t>BOLLEBYGD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46323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46323</v>
      </c>
      <c r="F201" t="inlineStr">
        <is>
          <t>VÄSTRA GÖTALANDS LÄN</t>
        </is>
      </c>
      <c r="G201" t="inlineStr">
        <is>
          <t>BOLLEBYGD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46323</v>
      </c>
      <c r="F202" t="inlineStr">
        <is>
          <t>VÄSTRA GÖTALANDS LÄN</t>
        </is>
      </c>
      <c r="G202" t="inlineStr">
        <is>
          <t>BOLLEBYGD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46323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46323</v>
      </c>
      <c r="F204" t="inlineStr">
        <is>
          <t>VÄSTRA GÖTALANDS LÄN</t>
        </is>
      </c>
      <c r="G204" t="inlineStr">
        <is>
          <t>BOLLEBYGD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45537</v>
      </c>
      <c r="E205" s="1" t="n">
        <v>46323</v>
      </c>
      <c r="F205" t="inlineStr">
        <is>
          <t>VÄSTRA GÖTALANDS LÄN</t>
        </is>
      </c>
      <c r="G205" t="inlineStr">
        <is>
          <t>BOLLEBYGD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46323</v>
      </c>
      <c r="F206" t="inlineStr">
        <is>
          <t>VÄSTRA GÖTALANDS LÄN</t>
        </is>
      </c>
      <c r="G206" t="inlineStr">
        <is>
          <t>BOLLEBYGD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46323</v>
      </c>
      <c r="F207" t="inlineStr">
        <is>
          <t>VÄSTRA GÖTALANDS LÄN</t>
        </is>
      </c>
      <c r="G207" t="inlineStr">
        <is>
          <t>BOLLEBYGD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45276</v>
      </c>
      <c r="E208" s="1" t="n">
        <v>46323</v>
      </c>
      <c r="F208" t="inlineStr">
        <is>
          <t>VÄSTRA GÖTALANDS LÄN</t>
        </is>
      </c>
      <c r="G208" t="inlineStr">
        <is>
          <t>BOLLEBYGD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46323</v>
      </c>
      <c r="F209" t="inlineStr">
        <is>
          <t>VÄSTRA GÖTALANDS LÄN</t>
        </is>
      </c>
      <c r="G209" t="inlineStr">
        <is>
          <t>BOLLEBYGD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44981</v>
      </c>
      <c r="E210" s="1" t="n">
        <v>46323</v>
      </c>
      <c r="F210" t="inlineStr">
        <is>
          <t>VÄSTRA GÖTALANDS LÄN</t>
        </is>
      </c>
      <c r="G210" t="inlineStr">
        <is>
          <t>BOLLEBYGD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46323</v>
      </c>
      <c r="F211" t="inlineStr">
        <is>
          <t>VÄSTRA GÖTALANDS LÄN</t>
        </is>
      </c>
      <c r="G211" t="inlineStr">
        <is>
          <t>BOLLEBYGD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46309</v>
      </c>
      <c r="E212" s="1" t="n">
        <v>46323</v>
      </c>
      <c r="F212" t="inlineStr">
        <is>
          <t>VÄSTRA GÖTALANDS LÄN</t>
        </is>
      </c>
      <c r="G212" t="inlineStr">
        <is>
          <t>BOLLEBYGD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46309</v>
      </c>
      <c r="E213" s="1" t="n">
        <v>46323</v>
      </c>
      <c r="F213" t="inlineStr">
        <is>
          <t>VÄSTRA GÖTALANDS LÄN</t>
        </is>
      </c>
      <c r="G213" t="inlineStr">
        <is>
          <t>BOLLEBYGD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46323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46323</v>
      </c>
      <c r="F215" t="inlineStr">
        <is>
          <t>VÄSTRA GÖTALANDS LÄN</t>
        </is>
      </c>
      <c r="G215" t="inlineStr">
        <is>
          <t>BOLLEBYGD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46323</v>
      </c>
      <c r="F216" t="inlineStr">
        <is>
          <t>VÄSTRA GÖTALANDS LÄN</t>
        </is>
      </c>
      <c r="G216" t="inlineStr">
        <is>
          <t>BOLLEBYGD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46323</v>
      </c>
      <c r="F217" t="inlineStr">
        <is>
          <t>VÄSTRA GÖTALANDS LÄN</t>
        </is>
      </c>
      <c r="G217" t="inlineStr">
        <is>
          <t>BOLLEBYGD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46323</v>
      </c>
      <c r="F218" t="inlineStr">
        <is>
          <t>VÄSTRA GÖTALANDS LÄN</t>
        </is>
      </c>
      <c r="G218" t="inlineStr">
        <is>
          <t>BOLLEBYGD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46323</v>
      </c>
      <c r="F219" t="inlineStr">
        <is>
          <t>VÄSTRA GÖTALANDS LÄN</t>
        </is>
      </c>
      <c r="G219" t="inlineStr">
        <is>
          <t>BOLLEBYGD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46311</v>
      </c>
      <c r="E220" s="1" t="n">
        <v>46323</v>
      </c>
      <c r="F220" t="inlineStr">
        <is>
          <t>VÄSTRA GÖTALANDS LÄN</t>
        </is>
      </c>
      <c r="G220" t="inlineStr">
        <is>
          <t>BOLLEBYGD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46323</v>
      </c>
      <c r="F221" t="inlineStr">
        <is>
          <t>VÄSTRA GÖTALANDS LÄN</t>
        </is>
      </c>
      <c r="G221" t="inlineStr">
        <is>
          <t>BOLLEBYGD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46316</v>
      </c>
      <c r="E222" s="1" t="n">
        <v>46323</v>
      </c>
      <c r="F222" t="inlineStr">
        <is>
          <t>VÄSTRA GÖTALANDS LÄN</t>
        </is>
      </c>
      <c r="G222" t="inlineStr">
        <is>
          <t>BOLLEBYGD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46323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46323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46323</v>
      </c>
      <c r="F225" t="inlineStr">
        <is>
          <t>VÄSTRA GÖTALANDS LÄN</t>
        </is>
      </c>
      <c r="G225" t="inlineStr">
        <is>
          <t>BOLLEBYGD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46272</v>
      </c>
      <c r="E226" s="1" t="n">
        <v>46323</v>
      </c>
      <c r="F226" t="inlineStr">
        <is>
          <t>VÄSTRA GÖTALANDS LÄN</t>
        </is>
      </c>
      <c r="G226" t="inlineStr">
        <is>
          <t>BOLLEBYGD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46323</v>
      </c>
      <c r="F227" t="inlineStr">
        <is>
          <t>VÄSTRA GÖTALANDS LÄN</t>
        </is>
      </c>
      <c r="G227" t="inlineStr">
        <is>
          <t>BOLLEBYGD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46316</v>
      </c>
      <c r="E228" s="1" t="n">
        <v>46323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46323</v>
      </c>
      <c r="F229" t="inlineStr">
        <is>
          <t>VÄSTRA GÖTALANDS LÄN</t>
        </is>
      </c>
      <c r="G229" t="inlineStr">
        <is>
          <t>BOLLEBYGD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46120</v>
      </c>
      <c r="E230" s="1" t="n">
        <v>46323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46323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46323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45836</v>
      </c>
      <c r="E233" s="1" t="n">
        <v>46323</v>
      </c>
      <c r="F233" t="inlineStr">
        <is>
          <t>VÄSTRA GÖTALANDS LÄN</t>
        </is>
      </c>
      <c r="G233" t="inlineStr">
        <is>
          <t>BOLLEBYGD</t>
        </is>
      </c>
      <c r="I233" t="n">
        <v>11.7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45664</v>
      </c>
      <c r="E234" s="1" t="n">
        <v>46323</v>
      </c>
      <c r="F234" t="inlineStr">
        <is>
          <t>VÄSTRA GÖTALANDS LÄN</t>
        </is>
      </c>
      <c r="G234" t="inlineStr">
        <is>
          <t>BOLLEBYGD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46323</v>
      </c>
      <c r="F235" t="inlineStr">
        <is>
          <t>VÄSTRA GÖTALANDS LÄN</t>
        </is>
      </c>
      <c r="G235" t="inlineStr">
        <is>
          <t>BOLLEBYGD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45872</v>
      </c>
      <c r="E236" s="1" t="n">
        <v>46323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31546-2022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44775</v>
      </c>
      <c r="E237" s="1" t="n">
        <v>46323</v>
      </c>
      <c r="F237" t="inlineStr">
        <is>
          <t>VÄSTRA GÖTALANDS LÄN</t>
        </is>
      </c>
      <c r="G237" t="inlineStr">
        <is>
          <t>BOLLEBYGD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46323</v>
      </c>
      <c r="F238" t="inlineStr">
        <is>
          <t>VÄSTRA GÖTALANDS LÄN</t>
        </is>
      </c>
      <c r="G238" t="inlineStr">
        <is>
          <t>BOLLEBYGD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46323</v>
      </c>
      <c r="F239" t="inlineStr">
        <is>
          <t>VÄSTRA GÖTALANDS LÄN</t>
        </is>
      </c>
      <c r="G239" t="inlineStr">
        <is>
          <t>BOLLEBYGD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46323</v>
      </c>
      <c r="F240" t="inlineStr">
        <is>
          <t>VÄSTRA GÖTALANDS LÄN</t>
        </is>
      </c>
      <c r="G240" t="inlineStr">
        <is>
          <t>BOLLEBYGD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2751-2025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45934</v>
      </c>
      <c r="E241" s="1" t="n">
        <v>46323</v>
      </c>
      <c r="F241" t="inlineStr">
        <is>
          <t>VÄSTRA GÖTALANDS LÄN</t>
        </is>
      </c>
      <c r="G241" t="inlineStr">
        <is>
          <t>BOLLEBYGD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1396-2026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46154</v>
      </c>
      <c r="E242" s="1" t="n">
        <v>46323</v>
      </c>
      <c r="F242" t="inlineStr">
        <is>
          <t>VÄSTRA GÖTALANDS LÄN</t>
        </is>
      </c>
      <c r="G242" t="inlineStr">
        <is>
          <t>BOLLEBYGD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2143-2026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46246</v>
      </c>
      <c r="E243" s="1" t="n">
        <v>46323</v>
      </c>
      <c r="F243" t="inlineStr">
        <is>
          <t>VÄSTRA GÖTALANDS LÄN</t>
        </is>
      </c>
      <c r="G243" t="inlineStr">
        <is>
          <t>BOLLEBYGD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2026-10-28T03:15:00Z</dcterms:created>
  <dcterms:modified xmlns:dcterms="http://purl.org/dc/terms/" xmlns:xsi="http://www.w3.org/2001/XMLSchema-instance" xsi:type="dcterms:W3CDTF">2026-10-28T03:15:00Z</dcterms:modified>
</cp:coreProperties>
</file>