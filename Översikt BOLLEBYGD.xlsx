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46262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46262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46262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46262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46262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46262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46262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46262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46262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46262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13115-2026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46093</v>
      </c>
      <c r="E12" s="1" t="n">
        <v>46262</v>
      </c>
      <c r="F12" t="inlineStr">
        <is>
          <t>VÄSTRA GÖTALANDS LÄN</t>
        </is>
      </c>
      <c r="G12" t="inlineStr">
        <is>
          <t>BOLLEBYGD</t>
        </is>
      </c>
      <c r="I12" t="n">
        <v>6.5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Mattlummer
Fläcknycklar</t>
        </is>
      </c>
      <c r="W12">
        <f>HYPERLINK("https://klasma.github.io/Logging_1443/artfynd/A 13115-2026 artfynd.xlsx", "A 13115-2026")</f>
        <v/>
      </c>
      <c r="X12">
        <f>HYPERLINK("https://klasma.github.io/Logging_1443/kartor/A 13115-2026 karta.png", "A 13115-2026")</f>
        <v/>
      </c>
      <c r="Y12">
        <f>HYPERLINK("https://klasma.github.io/Logging_1443/kartor_geotiff/A 13115-2026 georefererad karta.tif", "A 13115-2026")</f>
        <v/>
      </c>
      <c r="AA12">
        <f>HYPERLINK("https://klasma.github.io/Logging_1443/klagomål/A 13115-2026 FSC-klagomål.docx", "A 13115-2026")</f>
        <v/>
      </c>
      <c r="AB12">
        <f>HYPERLINK("https://klasma.github.io/Logging_1443/klagomålsmail/A 13115-2026 FSC-klagomål mail.docx", "A 13115-2026")</f>
        <v/>
      </c>
      <c r="AC12">
        <f>HYPERLINK("https://klasma.github.io/Logging_1443/tillsyn/A 13115-2026 tillsynsbegäran.docx", "A 13115-2026")</f>
        <v/>
      </c>
      <c r="AD12">
        <f>HYPERLINK("https://klasma.github.io/Logging_1443/tillsynsmail/A 13115-2026 tillsynsbegäran mail.docx", "A 13115-2026")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46262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46262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46262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46262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46262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46262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46262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23906-2024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45455</v>
      </c>
      <c r="E20" s="1" t="n">
        <v>46262</v>
      </c>
      <c r="F20" t="inlineStr">
        <is>
          <t>VÄSTRA GÖTALANDS LÄN</t>
        </is>
      </c>
      <c r="G20" t="inlineStr">
        <is>
          <t>BOLLEBYGD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Bäckbräsma</t>
        </is>
      </c>
      <c r="W20">
        <f>HYPERLINK("https://klasma.github.io/Logging_1443/artfynd/A 23906-2024 artfynd.xlsx", "A 23906-2024")</f>
        <v/>
      </c>
      <c r="X20">
        <f>HYPERLINK("https://klasma.github.io/Logging_1443/kartor/A 23906-2024 karta.png", "A 23906-2024")</f>
        <v/>
      </c>
      <c r="Y20">
        <f>HYPERLINK("https://klasma.github.io/Logging_1443/kartor_geotiff/A 23906-2024 georefererad karta.tif", "A 23906-2024")</f>
        <v/>
      </c>
      <c r="AA20">
        <f>HYPERLINK("https://klasma.github.io/Logging_1443/klagomål/A 23906-2024 FSC-klagomål.docx", "A 23906-2024")</f>
        <v/>
      </c>
      <c r="AB20">
        <f>HYPERLINK("https://klasma.github.io/Logging_1443/klagomålsmail/A 23906-2024 FSC-klagomål mail.docx", "A 23906-2024")</f>
        <v/>
      </c>
      <c r="AC20">
        <f>HYPERLINK("https://klasma.github.io/Logging_1443/tillsyn/A 23906-2024 tillsynsbegäran.docx", "A 23906-2024")</f>
        <v/>
      </c>
      <c r="AD20">
        <f>HYPERLINK("https://klasma.github.io/Logging_1443/tillsynsmail/A 23906-2024 tillsynsbegäran mail.docx", "A 23906-2024")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46262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46262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46262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46262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46262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30745-2023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46262</v>
      </c>
      <c r="F26" t="inlineStr">
        <is>
          <t>VÄSTRA GÖTALANDS LÄN</t>
        </is>
      </c>
      <c r="G26" t="inlineStr">
        <is>
          <t>BOLLEBYGD</t>
        </is>
      </c>
      <c r="I26" t="n">
        <v>3.9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30745-2023 artfynd.xlsx", "A 30745-2023")</f>
        <v/>
      </c>
      <c r="X26">
        <f>HYPERLINK("https://klasma.github.io/Logging_1443/kartor/A 30745-2023 karta.png", "A 30745-2023")</f>
        <v/>
      </c>
      <c r="Y26">
        <f>HYPERLINK("https://klasma.github.io/Logging_1443/kartor_geotiff/A 30745-2023 georefererad karta.tif", "A 30745-2023")</f>
        <v/>
      </c>
      <c r="AA26">
        <f>HYPERLINK("https://klasma.github.io/Logging_1443/klagomål/A 30745-2023 FSC-klagomål.docx", "A 30745-2023")</f>
        <v/>
      </c>
      <c r="AB26">
        <f>HYPERLINK("https://klasma.github.io/Logging_1443/klagomålsmail/A 30745-2023 FSC-klagomål mail.docx", "A 30745-2023")</f>
        <v/>
      </c>
      <c r="AC26">
        <f>HYPERLINK("https://klasma.github.io/Logging_1443/tillsyn/A 30745-2023 tillsynsbegäran.docx", "A 30745-2023")</f>
        <v/>
      </c>
      <c r="AD26">
        <f>HYPERLINK("https://klasma.github.io/Logging_1443/tillsynsmail/A 30745-2023 tillsynsbegäran mail.docx", "A 30745-2023")</f>
        <v/>
      </c>
    </row>
    <row r="27" ht="15" customHeight="1">
      <c r="A27" t="inlineStr">
        <is>
          <t>A 35491-2023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46262</v>
      </c>
      <c r="F27" t="inlineStr">
        <is>
          <t>VÄSTRA GÖTALANDS LÄN</t>
        </is>
      </c>
      <c r="G27" t="inlineStr">
        <is>
          <t>BOLLEBYGD</t>
        </is>
      </c>
      <c r="I27" t="n">
        <v>3.5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HYPERLINK("https://klasma.github.io/Logging_1443/artfynd/A 35491-2023 artfynd.xlsx", "A 35491-2023")</f>
        <v/>
      </c>
      <c r="X27">
        <f>HYPERLINK("https://klasma.github.io/Logging_1443/kartor/A 35491-2023 karta.png", "A 35491-2023")</f>
        <v/>
      </c>
      <c r="Y27">
        <f>HYPERLINK("https://klasma.github.io/Logging_1443/kartor_geotiff/A 35491-2023 georefererad karta.tif", "A 35491-2023")</f>
        <v/>
      </c>
      <c r="Z27">
        <f>HYPERLINK("https://klasma.github.io/Logging_1443/knärot/A 35491-2023 karta knärot.png", "A 35491-2023")</f>
        <v/>
      </c>
      <c r="AA27">
        <f>HYPERLINK("https://klasma.github.io/Logging_1443/klagomål/A 35491-2023 FSC-klagomål.docx", "A 35491-2023")</f>
        <v/>
      </c>
      <c r="AB27">
        <f>HYPERLINK("https://klasma.github.io/Logging_1443/klagomålsmail/A 35491-2023 FSC-klagomål mail.docx", "A 35491-2023")</f>
        <v/>
      </c>
      <c r="AC27">
        <f>HYPERLINK("https://klasma.github.io/Logging_1443/tillsyn/A 35491-2023 tillsynsbegäran.docx", "A 35491-2023")</f>
        <v/>
      </c>
      <c r="AD27">
        <f>HYPERLINK("https://klasma.github.io/Logging_1443/tillsynsmail/A 35491-2023 tillsynsbegäran mail.docx", "A 35491-2023")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46262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46262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12367-2022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44637</v>
      </c>
      <c r="E30" s="1" t="n">
        <v>46262</v>
      </c>
      <c r="F30" t="inlineStr">
        <is>
          <t>VÄSTRA GÖTALANDS LÄN</t>
        </is>
      </c>
      <c r="G30" t="inlineStr">
        <is>
          <t>BOLLEBYGD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46262</v>
      </c>
      <c r="F31" t="inlineStr">
        <is>
          <t>VÄSTRA GÖTALANDS LÄN</t>
        </is>
      </c>
      <c r="G31" t="inlineStr">
        <is>
          <t>BOLLEBYGD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44570</v>
      </c>
      <c r="E32" s="1" t="n">
        <v>46262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44727</v>
      </c>
      <c r="E33" s="1" t="n">
        <v>46262</v>
      </c>
      <c r="F33" t="inlineStr">
        <is>
          <t>VÄSTRA GÖTALANDS LÄN</t>
        </is>
      </c>
      <c r="G33" t="inlineStr">
        <is>
          <t>BOLLEBYGD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46262</v>
      </c>
      <c r="F34" t="inlineStr">
        <is>
          <t>VÄSTRA GÖTALANDS LÄN</t>
        </is>
      </c>
      <c r="G34" t="inlineStr">
        <is>
          <t>BOLLEBYGD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68882-2021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46262</v>
      </c>
      <c r="F35" t="inlineStr">
        <is>
          <t>VÄSTRA GÖTALANDS LÄN</t>
        </is>
      </c>
      <c r="G35" t="inlineStr">
        <is>
          <t>BOLLEBYGD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17990-2022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44683</v>
      </c>
      <c r="E36" s="1" t="n">
        <v>46262</v>
      </c>
      <c r="F36" t="inlineStr">
        <is>
          <t>VÄSTRA GÖTALANDS LÄN</t>
        </is>
      </c>
      <c r="G36" t="inlineStr">
        <is>
          <t>BOLLEBYGD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46262</v>
      </c>
      <c r="F37" t="inlineStr">
        <is>
          <t>VÄSTRA GÖTALANDS LÄN</t>
        </is>
      </c>
      <c r="G37" t="inlineStr">
        <is>
          <t>BOLLEBYGD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46262</v>
      </c>
      <c r="F38" t="inlineStr">
        <is>
          <t>VÄSTRA GÖTALANDS LÄN</t>
        </is>
      </c>
      <c r="G38" t="inlineStr">
        <is>
          <t>BOLLEBYGD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46262</v>
      </c>
      <c r="F39" t="inlineStr">
        <is>
          <t>VÄSTRA GÖTALANDS LÄN</t>
        </is>
      </c>
      <c r="G39" t="inlineStr">
        <is>
          <t>BOLLEBYGD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46262</v>
      </c>
      <c r="F40" t="inlineStr">
        <is>
          <t>VÄSTRA GÖTALANDS LÄN</t>
        </is>
      </c>
      <c r="G40" t="inlineStr">
        <is>
          <t>BOLLEBYGD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46262</v>
      </c>
      <c r="F41" t="inlineStr">
        <is>
          <t>VÄSTRA GÖTALANDS LÄN</t>
        </is>
      </c>
      <c r="G41" t="inlineStr">
        <is>
          <t>BOLLEBYGD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46262</v>
      </c>
      <c r="F42" t="inlineStr">
        <is>
          <t>VÄSTRA GÖTALANDS LÄN</t>
        </is>
      </c>
      <c r="G42" t="inlineStr">
        <is>
          <t>BOLLEBYGD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46262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51229-2022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46262</v>
      </c>
      <c r="F44" t="inlineStr">
        <is>
          <t>VÄSTRA GÖTALANDS LÄN</t>
        </is>
      </c>
      <c r="G44" t="inlineStr">
        <is>
          <t>BOLLEBYGD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46262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44459</v>
      </c>
      <c r="E46" s="1" t="n">
        <v>46262</v>
      </c>
      <c r="F46" t="inlineStr">
        <is>
          <t>VÄSTRA GÖTALANDS LÄN</t>
        </is>
      </c>
      <c r="G46" t="inlineStr">
        <is>
          <t>BOLLEBYGD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45328</v>
      </c>
      <c r="E47" s="1" t="n">
        <v>46262</v>
      </c>
      <c r="F47" t="inlineStr">
        <is>
          <t>VÄSTRA GÖTALANDS LÄN</t>
        </is>
      </c>
      <c r="G47" t="inlineStr">
        <is>
          <t>BOLLEBYGD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45118</v>
      </c>
      <c r="E48" s="1" t="n">
        <v>46262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46262</v>
      </c>
      <c r="F49" t="inlineStr">
        <is>
          <t>VÄSTRA GÖTALANDS LÄN</t>
        </is>
      </c>
      <c r="G49" t="inlineStr">
        <is>
          <t>BOLLEBYGD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23907-2024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45455</v>
      </c>
      <c r="E50" s="1" t="n">
        <v>46262</v>
      </c>
      <c r="F50" t="inlineStr">
        <is>
          <t>VÄSTRA GÖTALANDS LÄN</t>
        </is>
      </c>
      <c r="G50" t="inlineStr">
        <is>
          <t>BOLLEBYGD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21878-2025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45784</v>
      </c>
      <c r="E51" s="1" t="n">
        <v>46262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6745-2023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44966</v>
      </c>
      <c r="E52" s="1" t="n">
        <v>46262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46262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43938-2024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45572</v>
      </c>
      <c r="E54" s="1" t="n">
        <v>46262</v>
      </c>
      <c r="F54" t="inlineStr">
        <is>
          <t>VÄSTRA GÖTALANDS LÄN</t>
        </is>
      </c>
      <c r="G54" t="inlineStr">
        <is>
          <t>BOLLEBYGD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45090</v>
      </c>
      <c r="E55" s="1" t="n">
        <v>46262</v>
      </c>
      <c r="F55" t="inlineStr">
        <is>
          <t>VÄSTRA GÖTALANDS LÄN</t>
        </is>
      </c>
      <c r="G55" t="inlineStr">
        <is>
          <t>BOLLEBYGD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51613-2025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45951</v>
      </c>
      <c r="E56" s="1" t="n">
        <v>46262</v>
      </c>
      <c r="F56" t="inlineStr">
        <is>
          <t>VÄSTRA GÖTALANDS LÄN</t>
        </is>
      </c>
      <c r="G56" t="inlineStr">
        <is>
          <t>BOLLEBYGD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52513-2025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46262</v>
      </c>
      <c r="F57" t="inlineStr">
        <is>
          <t>VÄSTRA GÖTALANDS LÄN</t>
        </is>
      </c>
      <c r="G57" t="inlineStr">
        <is>
          <t>BOLLEBYGD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46262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46262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45954</v>
      </c>
      <c r="E60" s="1" t="n">
        <v>46262</v>
      </c>
      <c r="F60" t="inlineStr">
        <is>
          <t>VÄSTRA GÖTALANDS LÄN</t>
        </is>
      </c>
      <c r="G60" t="inlineStr">
        <is>
          <t>BOLLEBYGD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46262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46262</v>
      </c>
      <c r="F62" t="inlineStr">
        <is>
          <t>VÄSTRA GÖTALANDS LÄN</t>
        </is>
      </c>
      <c r="G62" t="inlineStr">
        <is>
          <t>BOLLEBYGD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46262</v>
      </c>
      <c r="F63" t="inlineStr">
        <is>
          <t>VÄSTRA GÖTALANDS LÄN</t>
        </is>
      </c>
      <c r="G63" t="inlineStr">
        <is>
          <t>BOLLEBYGD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46262</v>
      </c>
      <c r="F64" t="inlineStr">
        <is>
          <t>VÄSTRA GÖTALANDS LÄN</t>
        </is>
      </c>
      <c r="G64" t="inlineStr">
        <is>
          <t>BOLLEBYGD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46262</v>
      </c>
      <c r="F65" t="inlineStr">
        <is>
          <t>VÄSTRA GÖTALANDS LÄN</t>
        </is>
      </c>
      <c r="G65" t="inlineStr">
        <is>
          <t>BOLLEBYGD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46262</v>
      </c>
      <c r="F66" t="inlineStr">
        <is>
          <t>VÄSTRA GÖTALANDS LÄN</t>
        </is>
      </c>
      <c r="G66" t="inlineStr">
        <is>
          <t>BOLLEBYGD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46262</v>
      </c>
      <c r="F67" t="inlineStr">
        <is>
          <t>VÄSTRA GÖTALANDS LÄN</t>
        </is>
      </c>
      <c r="G67" t="inlineStr">
        <is>
          <t>BOLLEBYGD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46262</v>
      </c>
      <c r="F68" t="inlineStr">
        <is>
          <t>VÄSTRA GÖTALANDS LÄN</t>
        </is>
      </c>
      <c r="G68" t="inlineStr">
        <is>
          <t>BOLLEBYGD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46262</v>
      </c>
      <c r="F69" t="inlineStr">
        <is>
          <t>VÄSTRA GÖTALANDS LÄN</t>
        </is>
      </c>
      <c r="G69" t="inlineStr">
        <is>
          <t>BOLLEBYGD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46262</v>
      </c>
      <c r="F70" t="inlineStr">
        <is>
          <t>VÄSTRA GÖTALANDS LÄN</t>
        </is>
      </c>
      <c r="G70" t="inlineStr">
        <is>
          <t>BOLLEBYGD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46262</v>
      </c>
      <c r="F71" t="inlineStr">
        <is>
          <t>VÄSTRA GÖTALANDS LÄN</t>
        </is>
      </c>
      <c r="G71" t="inlineStr">
        <is>
          <t>BOLLEBYGD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46262</v>
      </c>
      <c r="F72" t="inlineStr">
        <is>
          <t>VÄSTRA GÖTALANDS LÄN</t>
        </is>
      </c>
      <c r="G72" t="inlineStr">
        <is>
          <t>BOLLEBYGD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46262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46262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45993</v>
      </c>
      <c r="E75" s="1" t="n">
        <v>46262</v>
      </c>
      <c r="F75" t="inlineStr">
        <is>
          <t>VÄSTRA GÖTALANDS LÄN</t>
        </is>
      </c>
      <c r="G75" t="inlineStr">
        <is>
          <t>BOLLEBYGD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45993</v>
      </c>
      <c r="E76" s="1" t="n">
        <v>46262</v>
      </c>
      <c r="F76" t="inlineStr">
        <is>
          <t>VÄSTRA GÖTALANDS LÄN</t>
        </is>
      </c>
      <c r="G76" t="inlineStr">
        <is>
          <t>BOLLEBYGD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45993</v>
      </c>
      <c r="E77" s="1" t="n">
        <v>46262</v>
      </c>
      <c r="F77" t="inlineStr">
        <is>
          <t>VÄSTRA GÖTALANDS LÄN</t>
        </is>
      </c>
      <c r="G77" t="inlineStr">
        <is>
          <t>BOLLEBYGD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60092-2025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45993</v>
      </c>
      <c r="E78" s="1" t="n">
        <v>46262</v>
      </c>
      <c r="F78" t="inlineStr">
        <is>
          <t>VÄSTRA GÖTALANDS LÄN</t>
        </is>
      </c>
      <c r="G78" t="inlineStr">
        <is>
          <t>BOLLEBYGD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46262</v>
      </c>
      <c r="F79" t="inlineStr">
        <is>
          <t>VÄSTRA GÖTALANDS LÄN</t>
        </is>
      </c>
      <c r="G79" t="inlineStr">
        <is>
          <t>BOLLEBYGD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45992</v>
      </c>
      <c r="E80" s="1" t="n">
        <v>46262</v>
      </c>
      <c r="F80" t="inlineStr">
        <is>
          <t>VÄSTRA GÖTALANDS LÄN</t>
        </is>
      </c>
      <c r="G80" t="inlineStr">
        <is>
          <t>BOLLEBYGD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46262</v>
      </c>
      <c r="F81" t="inlineStr">
        <is>
          <t>VÄSTRA GÖTALANDS LÄN</t>
        </is>
      </c>
      <c r="G81" t="inlineStr">
        <is>
          <t>BOLLEBYGD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45836</v>
      </c>
      <c r="E82" s="1" t="n">
        <v>46262</v>
      </c>
      <c r="F82" t="inlineStr">
        <is>
          <t>VÄSTRA GÖTALANDS LÄN</t>
        </is>
      </c>
      <c r="G82" t="inlineStr">
        <is>
          <t>BOLLEBYGD</t>
        </is>
      </c>
      <c r="I82" t="n">
        <v>11.7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45838</v>
      </c>
      <c r="E83" s="1" t="n">
        <v>46262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45180</v>
      </c>
      <c r="E84" s="1" t="n">
        <v>46262</v>
      </c>
      <c r="F84" t="inlineStr">
        <is>
          <t>VÄSTRA GÖTALANDS LÄN</t>
        </is>
      </c>
      <c r="G84" t="inlineStr">
        <is>
          <t>BOLLEBYGD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46262</v>
      </c>
      <c r="F85" t="inlineStr">
        <is>
          <t>VÄSTRA GÖTALANDS LÄN</t>
        </is>
      </c>
      <c r="G85" t="inlineStr">
        <is>
          <t>BOLLEBYGD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45586</v>
      </c>
      <c r="E86" s="1" t="n">
        <v>46262</v>
      </c>
      <c r="F86" t="inlineStr">
        <is>
          <t>VÄSTRA GÖTALANDS LÄN</t>
        </is>
      </c>
      <c r="G86" t="inlineStr">
        <is>
          <t>BOLLEBYGD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46262</v>
      </c>
      <c r="F87" t="inlineStr">
        <is>
          <t>VÄSTRA GÖTALANDS LÄN</t>
        </is>
      </c>
      <c r="G87" t="inlineStr">
        <is>
          <t>BOLLEBYGD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46262</v>
      </c>
      <c r="F88" t="inlineStr">
        <is>
          <t>VÄSTRA GÖTALANDS LÄN</t>
        </is>
      </c>
      <c r="G88" t="inlineStr">
        <is>
          <t>BOLLEBYGD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45992</v>
      </c>
      <c r="E89" s="1" t="n">
        <v>46262</v>
      </c>
      <c r="F89" t="inlineStr">
        <is>
          <t>VÄSTRA GÖTALANDS LÄN</t>
        </is>
      </c>
      <c r="G89" t="inlineStr">
        <is>
          <t>BOLLEBYGD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46262</v>
      </c>
      <c r="F90" t="inlineStr">
        <is>
          <t>VÄSTRA GÖTALANDS LÄN</t>
        </is>
      </c>
      <c r="G90" t="inlineStr">
        <is>
          <t>BOLLEBYGD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46262</v>
      </c>
      <c r="F91" t="inlineStr">
        <is>
          <t>VÄSTRA GÖTALANDS LÄN</t>
        </is>
      </c>
      <c r="G91" t="inlineStr">
        <is>
          <t>BOLLEBYGD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44683</v>
      </c>
      <c r="E92" s="1" t="n">
        <v>46262</v>
      </c>
      <c r="F92" t="inlineStr">
        <is>
          <t>VÄSTRA GÖTALANDS LÄN</t>
        </is>
      </c>
      <c r="G92" t="inlineStr">
        <is>
          <t>BOLLEBYGD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46262</v>
      </c>
      <c r="F93" t="inlineStr">
        <is>
          <t>VÄSTRA GÖTALANDS LÄN</t>
        </is>
      </c>
      <c r="G93" t="inlineStr">
        <is>
          <t>BOLLEBYGD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54295-2023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45232</v>
      </c>
      <c r="E94" s="1" t="n">
        <v>46262</v>
      </c>
      <c r="F94" t="inlineStr">
        <is>
          <t>VÄSTRA GÖTALANDS LÄN</t>
        </is>
      </c>
      <c r="G94" t="inlineStr">
        <is>
          <t>BOLLEBYGD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46262</v>
      </c>
      <c r="F95" t="inlineStr">
        <is>
          <t>VÄSTRA GÖTALANDS LÄN</t>
        </is>
      </c>
      <c r="G95" t="inlineStr">
        <is>
          <t>BOLLEBYGD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45664</v>
      </c>
      <c r="E96" s="1" t="n">
        <v>46262</v>
      </c>
      <c r="F96" t="inlineStr">
        <is>
          <t>VÄSTRA GÖTALANDS LÄN</t>
        </is>
      </c>
      <c r="G96" t="inlineStr">
        <is>
          <t>BOLLEBYGD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46262</v>
      </c>
      <c r="F97" t="inlineStr">
        <is>
          <t>VÄSTRA GÖTALANDS LÄN</t>
        </is>
      </c>
      <c r="G97" t="inlineStr">
        <is>
          <t>BOLLEBYGD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45872</v>
      </c>
      <c r="E98" s="1" t="n">
        <v>46262</v>
      </c>
      <c r="F98" t="inlineStr">
        <is>
          <t>VÄSTRA GÖTALANDS LÄN</t>
        </is>
      </c>
      <c r="G98" t="inlineStr">
        <is>
          <t>BOLLEBYGD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45994</v>
      </c>
      <c r="E99" s="1" t="n">
        <v>46262</v>
      </c>
      <c r="F99" t="inlineStr">
        <is>
          <t>VÄSTRA GÖTALANDS LÄN</t>
        </is>
      </c>
      <c r="G99" t="inlineStr">
        <is>
          <t>BOLLEBYGD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47980-2023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45204</v>
      </c>
      <c r="E100" s="1" t="n">
        <v>46262</v>
      </c>
      <c r="F100" t="inlineStr">
        <is>
          <t>VÄSTRA GÖTALANDS LÄN</t>
        </is>
      </c>
      <c r="G100" t="inlineStr">
        <is>
          <t>BOLLEBYGD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45359</v>
      </c>
      <c r="E101" s="1" t="n">
        <v>46262</v>
      </c>
      <c r="F101" t="inlineStr">
        <is>
          <t>VÄSTRA GÖTALANDS LÄN</t>
        </is>
      </c>
      <c r="G101" t="inlineStr">
        <is>
          <t>BOLLEBYGD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45999</v>
      </c>
      <c r="E102" s="1" t="n">
        <v>46262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46262</v>
      </c>
      <c r="F103" t="inlineStr">
        <is>
          <t>VÄSTRA GÖTALANDS LÄN</t>
        </is>
      </c>
      <c r="G103" t="inlineStr">
        <is>
          <t>BOLLEBYGD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31546-2022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44775</v>
      </c>
      <c r="E104" s="1" t="n">
        <v>46262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46262</v>
      </c>
      <c r="F105" t="inlineStr">
        <is>
          <t>VÄSTRA GÖTALANDS LÄN</t>
        </is>
      </c>
      <c r="G105" t="inlineStr">
        <is>
          <t>BOLLEBYGD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46262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45721</v>
      </c>
      <c r="E107" s="1" t="n">
        <v>46262</v>
      </c>
      <c r="F107" t="inlineStr">
        <is>
          <t>VÄSTRA GÖTALANDS LÄN</t>
        </is>
      </c>
      <c r="G107" t="inlineStr">
        <is>
          <t>BOLLEBYGD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64003-2025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46262</v>
      </c>
      <c r="F108" t="inlineStr">
        <is>
          <t>VÄSTRA GÖTALANDS LÄN</t>
        </is>
      </c>
      <c r="G108" t="inlineStr">
        <is>
          <t>BOLLEBYGD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46262</v>
      </c>
      <c r="F109" t="inlineStr">
        <is>
          <t>VÄSTRA GÖTALANDS LÄN</t>
        </is>
      </c>
      <c r="G109" t="inlineStr">
        <is>
          <t>BOLLEBYGD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46262</v>
      </c>
      <c r="F110" t="inlineStr">
        <is>
          <t>VÄSTRA GÖTALANDS LÄN</t>
        </is>
      </c>
      <c r="G110" t="inlineStr">
        <is>
          <t>BOLLEBYGD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9530-2023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46262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46037</v>
      </c>
      <c r="E112" s="1" t="n">
        <v>46262</v>
      </c>
      <c r="F112" t="inlineStr">
        <is>
          <t>VÄSTRA GÖTALANDS LÄN</t>
        </is>
      </c>
      <c r="G112" t="inlineStr">
        <is>
          <t>BOLLEBYGD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46262</v>
      </c>
      <c r="F113" t="inlineStr">
        <is>
          <t>VÄSTRA GÖTALANDS LÄN</t>
        </is>
      </c>
      <c r="G113" t="inlineStr">
        <is>
          <t>BOLLEBYGD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46048</v>
      </c>
      <c r="E114" s="1" t="n">
        <v>46262</v>
      </c>
      <c r="F114" t="inlineStr">
        <is>
          <t>VÄSTRA GÖTALANDS LÄN</t>
        </is>
      </c>
      <c r="G114" t="inlineStr">
        <is>
          <t>BOLLEBYGD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46048</v>
      </c>
      <c r="E115" s="1" t="n">
        <v>46262</v>
      </c>
      <c r="F115" t="inlineStr">
        <is>
          <t>VÄSTRA GÖTALANDS LÄN</t>
        </is>
      </c>
      <c r="G115" t="inlineStr">
        <is>
          <t>BOLLEBYGD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46262</v>
      </c>
      <c r="F116" t="inlineStr">
        <is>
          <t>VÄSTRA GÖTALANDS LÄN</t>
        </is>
      </c>
      <c r="G116" t="inlineStr">
        <is>
          <t>BOLLEBYGD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46262</v>
      </c>
      <c r="F117" t="inlineStr">
        <is>
          <t>VÄSTRA GÖTALANDS LÄN</t>
        </is>
      </c>
      <c r="G117" t="inlineStr">
        <is>
          <t>BOLLEBYGD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46262</v>
      </c>
      <c r="F118" t="inlineStr">
        <is>
          <t>VÄSTRA GÖTALANDS LÄN</t>
        </is>
      </c>
      <c r="G118" t="inlineStr">
        <is>
          <t>BOLLEBYGD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46262</v>
      </c>
      <c r="F119" t="inlineStr">
        <is>
          <t>VÄSTRA GÖTALANDS LÄN</t>
        </is>
      </c>
      <c r="G119" t="inlineStr">
        <is>
          <t>BOLLEBYGD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46052</v>
      </c>
      <c r="E120" s="1" t="n">
        <v>46262</v>
      </c>
      <c r="F120" t="inlineStr">
        <is>
          <t>VÄSTRA GÖTALANDS LÄN</t>
        </is>
      </c>
      <c r="G120" t="inlineStr">
        <is>
          <t>BOLLEBYGD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46262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46262</v>
      </c>
      <c r="F122" t="inlineStr">
        <is>
          <t>VÄSTRA GÖTALANDS LÄN</t>
        </is>
      </c>
      <c r="G122" t="inlineStr">
        <is>
          <t>BOLLEBYGD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46052</v>
      </c>
      <c r="E123" s="1" t="n">
        <v>46262</v>
      </c>
      <c r="F123" t="inlineStr">
        <is>
          <t>VÄSTRA GÖTALANDS LÄN</t>
        </is>
      </c>
      <c r="G123" t="inlineStr">
        <is>
          <t>BOLLEBYGD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67455-2021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44524</v>
      </c>
      <c r="E124" s="1" t="n">
        <v>46262</v>
      </c>
      <c r="F124" t="inlineStr">
        <is>
          <t>VÄSTRA GÖTALANDS LÄN</t>
        </is>
      </c>
      <c r="G124" t="inlineStr">
        <is>
          <t>BOLLEBYGD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46262</v>
      </c>
      <c r="F125" t="inlineStr">
        <is>
          <t>VÄSTRA GÖTALANDS LÄN</t>
        </is>
      </c>
      <c r="G125" t="inlineStr">
        <is>
          <t>BOLLEBYGD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58093-2023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45248</v>
      </c>
      <c r="E126" s="1" t="n">
        <v>46262</v>
      </c>
      <c r="F126" t="inlineStr">
        <is>
          <t>VÄSTRA GÖTALANDS LÄN</t>
        </is>
      </c>
      <c r="G126" t="inlineStr">
        <is>
          <t>BOLLEBYGD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44881</v>
      </c>
      <c r="E127" s="1" t="n">
        <v>46262</v>
      </c>
      <c r="F127" t="inlineStr">
        <is>
          <t>VÄSTRA GÖTALANDS LÄN</t>
        </is>
      </c>
      <c r="G127" t="inlineStr">
        <is>
          <t>BOLLEBYGD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46262</v>
      </c>
      <c r="F128" t="inlineStr">
        <is>
          <t>VÄSTRA GÖTALANDS LÄN</t>
        </is>
      </c>
      <c r="G128" t="inlineStr">
        <is>
          <t>BOLLEBYGD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46262</v>
      </c>
      <c r="F129" t="inlineStr">
        <is>
          <t>VÄSTRA GÖTALANDS LÄN</t>
        </is>
      </c>
      <c r="G129" t="inlineStr">
        <is>
          <t>BOLLEBYGD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45197</v>
      </c>
      <c r="E130" s="1" t="n">
        <v>46262</v>
      </c>
      <c r="F130" t="inlineStr">
        <is>
          <t>VÄSTRA GÖTALANDS LÄN</t>
        </is>
      </c>
      <c r="G130" t="inlineStr">
        <is>
          <t>BOLLEBYGD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44602</v>
      </c>
      <c r="E131" s="1" t="n">
        <v>46262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44510</v>
      </c>
      <c r="E132" s="1" t="n">
        <v>46262</v>
      </c>
      <c r="F132" t="inlineStr">
        <is>
          <t>VÄSTRA GÖTALANDS LÄN</t>
        </is>
      </c>
      <c r="G132" t="inlineStr">
        <is>
          <t>BOLLEBYGD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45308</v>
      </c>
      <c r="E133" s="1" t="n">
        <v>46262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44726</v>
      </c>
      <c r="E134" s="1" t="n">
        <v>46262</v>
      </c>
      <c r="F134" t="inlineStr">
        <is>
          <t>VÄSTRA GÖTALANDS LÄN</t>
        </is>
      </c>
      <c r="G134" t="inlineStr">
        <is>
          <t>BOLLEBYGD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46262</v>
      </c>
      <c r="F135" t="inlineStr">
        <is>
          <t>VÄSTRA GÖTALANDS LÄN</t>
        </is>
      </c>
      <c r="G135" t="inlineStr">
        <is>
          <t>BOLLEBYGD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45471</v>
      </c>
      <c r="E136" s="1" t="n">
        <v>46262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12503-2026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46262</v>
      </c>
      <c r="F137" t="inlineStr">
        <is>
          <t>VÄSTRA GÖTALANDS LÄN</t>
        </is>
      </c>
      <c r="G137" t="inlineStr">
        <is>
          <t>BOLLEBYGD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46262</v>
      </c>
      <c r="F138" t="inlineStr">
        <is>
          <t>VÄSTRA GÖTALANDS LÄN</t>
        </is>
      </c>
      <c r="G138" t="inlineStr">
        <is>
          <t>BOLLEBYGD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45621</v>
      </c>
      <c r="E139" s="1" t="n">
        <v>46262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46092</v>
      </c>
      <c r="E140" s="1" t="n">
        <v>46262</v>
      </c>
      <c r="F140" t="inlineStr">
        <is>
          <t>VÄSTRA GÖTALANDS LÄN</t>
        </is>
      </c>
      <c r="G140" t="inlineStr">
        <is>
          <t>BOLLEBYGD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46262</v>
      </c>
      <c r="F141" t="inlineStr">
        <is>
          <t>VÄSTRA GÖTALANDS LÄN</t>
        </is>
      </c>
      <c r="G141" t="inlineStr">
        <is>
          <t>BOLLEBYGD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46093</v>
      </c>
      <c r="E142" s="1" t="n">
        <v>46262</v>
      </c>
      <c r="F142" t="inlineStr">
        <is>
          <t>VÄSTRA GÖTALANDS LÄN</t>
        </is>
      </c>
      <c r="G142" t="inlineStr">
        <is>
          <t>BOLLEBYGD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46262</v>
      </c>
      <c r="F143" t="inlineStr">
        <is>
          <t>VÄSTRA GÖTALANDS LÄN</t>
        </is>
      </c>
      <c r="G143" t="inlineStr">
        <is>
          <t>BOLLEBYGD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45358</v>
      </c>
      <c r="E144" s="1" t="n">
        <v>46262</v>
      </c>
      <c r="F144" t="inlineStr">
        <is>
          <t>VÄSTRA GÖTALANDS LÄN</t>
        </is>
      </c>
      <c r="G144" t="inlineStr">
        <is>
          <t>BOLLEBYGD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13121-2026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46093</v>
      </c>
      <c r="E145" s="1" t="n">
        <v>46262</v>
      </c>
      <c r="F145" t="inlineStr">
        <is>
          <t>VÄSTRA GÖTALANDS LÄN</t>
        </is>
      </c>
      <c r="G145" t="inlineStr">
        <is>
          <t>BOLLEBYGD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46262</v>
      </c>
      <c r="F146" t="inlineStr">
        <is>
          <t>VÄSTRA GÖTALANDS LÄN</t>
        </is>
      </c>
      <c r="G146" t="inlineStr">
        <is>
          <t>BOLLEBYGD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46262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45276</v>
      </c>
      <c r="E148" s="1" t="n">
        <v>46262</v>
      </c>
      <c r="F148" t="inlineStr">
        <is>
          <t>VÄSTRA GÖTALANDS LÄN</t>
        </is>
      </c>
      <c r="G148" t="inlineStr">
        <is>
          <t>BOLLEBYGD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46262</v>
      </c>
      <c r="F149" t="inlineStr">
        <is>
          <t>VÄSTRA GÖTALANDS LÄN</t>
        </is>
      </c>
      <c r="G149" t="inlineStr">
        <is>
          <t>BOLLEBYGD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46262</v>
      </c>
      <c r="F150" t="inlineStr">
        <is>
          <t>VÄSTRA GÖTALANDS LÄN</t>
        </is>
      </c>
      <c r="G150" t="inlineStr">
        <is>
          <t>BOLLEBYGD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14111-2026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46262</v>
      </c>
      <c r="F151" t="inlineStr">
        <is>
          <t>VÄSTRA GÖTALANDS LÄN</t>
        </is>
      </c>
      <c r="G151" t="inlineStr">
        <is>
          <t>BOLLEBYGD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46262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46262</v>
      </c>
      <c r="F153" t="inlineStr">
        <is>
          <t>VÄSTRA GÖTALANDS LÄN</t>
        </is>
      </c>
      <c r="G153" t="inlineStr">
        <is>
          <t>BOLLEBYGD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14545-2026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46100</v>
      </c>
      <c r="E154" s="1" t="n">
        <v>46262</v>
      </c>
      <c r="F154" t="inlineStr">
        <is>
          <t>VÄSTRA GÖTALANDS LÄN</t>
        </is>
      </c>
      <c r="G154" t="inlineStr">
        <is>
          <t>BOLLEBYGD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46262</v>
      </c>
      <c r="F155" t="inlineStr">
        <is>
          <t>VÄSTRA GÖTALANDS LÄN</t>
        </is>
      </c>
      <c r="G155" t="inlineStr">
        <is>
          <t>BOLLEBYGD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46262</v>
      </c>
      <c r="F156" t="inlineStr">
        <is>
          <t>VÄSTRA GÖTALANDS LÄN</t>
        </is>
      </c>
      <c r="G156" t="inlineStr">
        <is>
          <t>BOLLEBYGD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46262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46262</v>
      </c>
      <c r="F158" t="inlineStr">
        <is>
          <t>VÄSTRA GÖTALANDS LÄN</t>
        </is>
      </c>
      <c r="G158" t="inlineStr">
        <is>
          <t>BOLLEBYGD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46262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46262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46262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46262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46262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46262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46262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19644-2026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46262</v>
      </c>
      <c r="F166" t="inlineStr">
        <is>
          <t>VÄSTRA GÖTALANDS LÄN</t>
        </is>
      </c>
      <c r="G166" t="inlineStr">
        <is>
          <t>BOLLEBYGD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46262</v>
      </c>
      <c r="F167" t="inlineStr">
        <is>
          <t>VÄSTRA GÖTALANDS LÄN</t>
        </is>
      </c>
      <c r="G167" t="inlineStr">
        <is>
          <t>BOLLEBYGD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46262</v>
      </c>
      <c r="F168" t="inlineStr">
        <is>
          <t>VÄSTRA GÖTALANDS LÄN</t>
        </is>
      </c>
      <c r="G168" t="inlineStr">
        <is>
          <t>BOLLEBYGD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46262</v>
      </c>
      <c r="F169" t="inlineStr">
        <is>
          <t>VÄSTRA GÖTALANDS LÄN</t>
        </is>
      </c>
      <c r="G169" t="inlineStr">
        <is>
          <t>BOLLEBYGD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46262</v>
      </c>
      <c r="F170" t="inlineStr">
        <is>
          <t>VÄSTRA GÖTALANDS LÄN</t>
        </is>
      </c>
      <c r="G170" t="inlineStr">
        <is>
          <t>BOLLEBYGD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45696</v>
      </c>
      <c r="E171" s="1" t="n">
        <v>46262</v>
      </c>
      <c r="F171" t="inlineStr">
        <is>
          <t>VÄSTRA GÖTALANDS LÄN</t>
        </is>
      </c>
      <c r="G171" t="inlineStr">
        <is>
          <t>BOLLEBYGD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46262</v>
      </c>
      <c r="F172" t="inlineStr">
        <is>
          <t>VÄSTRA GÖTALANDS LÄN</t>
        </is>
      </c>
      <c r="G172" t="inlineStr">
        <is>
          <t>BOLLEBYGD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46262</v>
      </c>
      <c r="F173" t="inlineStr">
        <is>
          <t>VÄSTRA GÖTALANDS LÄN</t>
        </is>
      </c>
      <c r="G173" t="inlineStr">
        <is>
          <t>BOLLEBYGD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46262</v>
      </c>
      <c r="F174" t="inlineStr">
        <is>
          <t>VÄSTRA GÖTALANDS LÄN</t>
        </is>
      </c>
      <c r="G174" t="inlineStr">
        <is>
          <t>BOLLEBYGD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46262</v>
      </c>
      <c r="F175" t="inlineStr">
        <is>
          <t>VÄSTRA GÖTALANDS LÄN</t>
        </is>
      </c>
      <c r="G175" t="inlineStr">
        <is>
          <t>BOLLEBYGD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46262</v>
      </c>
      <c r="F176" t="inlineStr">
        <is>
          <t>VÄSTRA GÖTALANDS LÄN</t>
        </is>
      </c>
      <c r="G176" t="inlineStr">
        <is>
          <t>BOLLEBYGD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29658-2022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46262</v>
      </c>
      <c r="F177" t="inlineStr">
        <is>
          <t>VÄSTRA GÖTALANDS LÄN</t>
        </is>
      </c>
      <c r="G177" t="inlineStr">
        <is>
          <t>BOLLEBYGD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46262</v>
      </c>
      <c r="F178" t="inlineStr">
        <is>
          <t>VÄSTRA GÖTALANDS LÄN</t>
        </is>
      </c>
      <c r="G178" t="inlineStr">
        <is>
          <t>BOLLEBYGD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46262</v>
      </c>
      <c r="F179" t="inlineStr">
        <is>
          <t>VÄSTRA GÖTALANDS LÄN</t>
        </is>
      </c>
      <c r="G179" t="inlineStr">
        <is>
          <t>BOLLEBYGD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46262</v>
      </c>
      <c r="F180" t="inlineStr">
        <is>
          <t>VÄSTRA GÖTALANDS LÄN</t>
        </is>
      </c>
      <c r="G180" t="inlineStr">
        <is>
          <t>BOLLEBYGD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46262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46262</v>
      </c>
      <c r="F182" t="inlineStr">
        <is>
          <t>VÄSTRA GÖTALANDS LÄN</t>
        </is>
      </c>
      <c r="G182" t="inlineStr">
        <is>
          <t>BOLLEBYGD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46262</v>
      </c>
      <c r="F183" t="inlineStr">
        <is>
          <t>VÄSTRA GÖTALANDS LÄN</t>
        </is>
      </c>
      <c r="G183" t="inlineStr">
        <is>
          <t>BOLLEBYGD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46262</v>
      </c>
      <c r="F184" t="inlineStr">
        <is>
          <t>VÄSTRA GÖTALANDS LÄN</t>
        </is>
      </c>
      <c r="G184" t="inlineStr">
        <is>
          <t>BOLLEBYGD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46262</v>
      </c>
      <c r="F185" t="inlineStr">
        <is>
          <t>VÄSTRA GÖTALANDS LÄN</t>
        </is>
      </c>
      <c r="G185" t="inlineStr">
        <is>
          <t>BOLLEBYGD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46262</v>
      </c>
      <c r="F186" t="inlineStr">
        <is>
          <t>VÄSTRA GÖTALANDS LÄN</t>
        </is>
      </c>
      <c r="G186" t="inlineStr">
        <is>
          <t>BOLLEBYGD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46262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45112</v>
      </c>
      <c r="E188" s="1" t="n">
        <v>46262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46262</v>
      </c>
      <c r="F189" t="inlineStr">
        <is>
          <t>VÄSTRA GÖTALANDS LÄN</t>
        </is>
      </c>
      <c r="G189" t="inlineStr">
        <is>
          <t>BOLLEBYGD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45624</v>
      </c>
      <c r="E190" s="1" t="n">
        <v>46262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51314-2023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45219</v>
      </c>
      <c r="E191" s="1" t="n">
        <v>46262</v>
      </c>
      <c r="F191" t="inlineStr">
        <is>
          <t>VÄSTRA GÖTALANDS LÄN</t>
        </is>
      </c>
      <c r="G191" t="inlineStr">
        <is>
          <t>BOLLEBYGD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44946</v>
      </c>
      <c r="E192" s="1" t="n">
        <v>46262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45377</v>
      </c>
      <c r="E193" s="1" t="n">
        <v>46262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46262</v>
      </c>
      <c r="F194" t="inlineStr">
        <is>
          <t>VÄSTRA GÖTALANDS LÄN</t>
        </is>
      </c>
      <c r="G194" t="inlineStr">
        <is>
          <t>BOLLEBYGD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44883</v>
      </c>
      <c r="E195" s="1" t="n">
        <v>46262</v>
      </c>
      <c r="F195" t="inlineStr">
        <is>
          <t>VÄSTRA GÖTALANDS LÄN</t>
        </is>
      </c>
      <c r="G195" t="inlineStr">
        <is>
          <t>BOLLEBYGD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46262</v>
      </c>
      <c r="F196" t="inlineStr">
        <is>
          <t>VÄSTRA GÖTALANDS LÄN</t>
        </is>
      </c>
      <c r="G196" t="inlineStr">
        <is>
          <t>BOLLEBYGD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46262</v>
      </c>
      <c r="F197" t="inlineStr">
        <is>
          <t>VÄSTRA GÖTALANDS LÄN</t>
        </is>
      </c>
      <c r="G197" t="inlineStr">
        <is>
          <t>BOLLEBYGD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46262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46262</v>
      </c>
      <c r="F199" t="inlineStr">
        <is>
          <t>VÄSTRA GÖTALANDS LÄN</t>
        </is>
      </c>
      <c r="G199" t="inlineStr">
        <is>
          <t>BOLLEBYGD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26642-2026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46262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44914</v>
      </c>
      <c r="E201" s="1" t="n">
        <v>46262</v>
      </c>
      <c r="F201" t="inlineStr">
        <is>
          <t>VÄSTRA GÖTALANDS LÄN</t>
        </is>
      </c>
      <c r="G201" t="inlineStr">
        <is>
          <t>BOLLEBYGD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46262</v>
      </c>
      <c r="F202" t="inlineStr">
        <is>
          <t>VÄSTRA GÖTALANDS LÄN</t>
        </is>
      </c>
      <c r="G202" t="inlineStr">
        <is>
          <t>BOLLEBYGD</t>
        </is>
      </c>
      <c r="H202" t="inlineStr">
        <is>
          <t>Kommuner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46262</v>
      </c>
      <c r="F203" t="inlineStr">
        <is>
          <t>VÄSTRA GÖTALANDS LÄN</t>
        </is>
      </c>
      <c r="G203" t="inlineStr">
        <is>
          <t>BOLLEBYGD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46262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46262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27248-2026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46262</v>
      </c>
      <c r="F206" t="inlineStr">
        <is>
          <t>VÄSTRA GÖTALANDS LÄN</t>
        </is>
      </c>
      <c r="G206" t="inlineStr">
        <is>
          <t>BOLLEBYGD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46231</v>
      </c>
      <c r="E207" s="1" t="n">
        <v>46262</v>
      </c>
      <c r="F207" t="inlineStr">
        <is>
          <t>VÄSTRA GÖTALANDS LÄN</t>
        </is>
      </c>
      <c r="G207" t="inlineStr">
        <is>
          <t>BOLLEBYGD</t>
        </is>
      </c>
      <c r="H207" t="inlineStr">
        <is>
          <t>Kyrkan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46262</v>
      </c>
      <c r="F208" t="inlineStr">
        <is>
          <t>VÄSTRA GÖTALANDS LÄN</t>
        </is>
      </c>
      <c r="G208" t="inlineStr">
        <is>
          <t>BOLLEBYGD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46262</v>
      </c>
      <c r="F209" t="inlineStr">
        <is>
          <t>VÄSTRA GÖTALANDS LÄN</t>
        </is>
      </c>
      <c r="G209" t="inlineStr">
        <is>
          <t>BOLLEBYGD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45303</v>
      </c>
      <c r="E210" s="1" t="n">
        <v>46262</v>
      </c>
      <c r="F210" t="inlineStr">
        <is>
          <t>VÄSTRA GÖTALANDS LÄN</t>
        </is>
      </c>
      <c r="G210" t="inlineStr">
        <is>
          <t>BOLLEBYGD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45310</v>
      </c>
      <c r="E211" s="1" t="n">
        <v>46262</v>
      </c>
      <c r="F211" t="inlineStr">
        <is>
          <t>VÄSTRA GÖTALANDS LÄN</t>
        </is>
      </c>
      <c r="G211" t="inlineStr">
        <is>
          <t>BOLLEBYGD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46262</v>
      </c>
      <c r="F212" t="inlineStr">
        <is>
          <t>VÄSTRA GÖTALANDS LÄN</t>
        </is>
      </c>
      <c r="G212" t="inlineStr">
        <is>
          <t>BOLLEBYGD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46262</v>
      </c>
      <c r="F213" t="inlineStr">
        <is>
          <t>VÄSTRA GÖTALANDS LÄN</t>
        </is>
      </c>
      <c r="G213" t="inlineStr">
        <is>
          <t>BOLLEBYGD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46262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46262</v>
      </c>
      <c r="F215" t="inlineStr">
        <is>
          <t>VÄSTRA GÖTALANDS LÄN</t>
        </is>
      </c>
      <c r="G215" t="inlineStr">
        <is>
          <t>BOLLEBYGD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46262</v>
      </c>
      <c r="F216" t="inlineStr">
        <is>
          <t>VÄSTRA GÖTALANDS LÄN</t>
        </is>
      </c>
      <c r="G216" t="inlineStr">
        <is>
          <t>BOLLEBYGD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46262</v>
      </c>
      <c r="F217" t="inlineStr">
        <is>
          <t>VÄSTRA GÖTALANDS LÄN</t>
        </is>
      </c>
      <c r="G217" t="inlineStr">
        <is>
          <t>BOLLEBYGD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45041</v>
      </c>
      <c r="E218" s="1" t="n">
        <v>46262</v>
      </c>
      <c r="F218" t="inlineStr">
        <is>
          <t>VÄSTRA GÖTALANDS LÄN</t>
        </is>
      </c>
      <c r="G218" t="inlineStr">
        <is>
          <t>BOLLEBYGD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11021-2022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44628</v>
      </c>
      <c r="E219" s="1" t="n">
        <v>46262</v>
      </c>
      <c r="F219" t="inlineStr">
        <is>
          <t>VÄSTRA GÖTALANDS LÄN</t>
        </is>
      </c>
      <c r="G219" t="inlineStr">
        <is>
          <t>BOLLEBYGD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44992</v>
      </c>
      <c r="E220" s="1" t="n">
        <v>46262</v>
      </c>
      <c r="F220" t="inlineStr">
        <is>
          <t>VÄSTRA GÖTALANDS LÄN</t>
        </is>
      </c>
      <c r="G220" t="inlineStr">
        <is>
          <t>BOLLEBYGD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46262</v>
      </c>
      <c r="F221" t="inlineStr">
        <is>
          <t>VÄSTRA GÖTALANDS LÄN</t>
        </is>
      </c>
      <c r="G221" t="inlineStr">
        <is>
          <t>BOLLEBYGD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46262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46262</v>
      </c>
      <c r="F223" t="inlineStr">
        <is>
          <t>VÄSTRA GÖTALANDS LÄN</t>
        </is>
      </c>
      <c r="G223" t="inlineStr">
        <is>
          <t>BOLLEBYGD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45624</v>
      </c>
      <c r="E224" s="1" t="n">
        <v>46262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46262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46262</v>
      </c>
      <c r="F226" t="inlineStr">
        <is>
          <t>VÄSTRA GÖTALANDS LÄN</t>
        </is>
      </c>
      <c r="G226" t="inlineStr">
        <is>
          <t>BOLLEBYGD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46262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30098-2026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46206</v>
      </c>
      <c r="E228" s="1" t="n">
        <v>46262</v>
      </c>
      <c r="F228" t="inlineStr">
        <is>
          <t>VÄSTRA GÖTALANDS LÄN</t>
        </is>
      </c>
      <c r="G228" t="inlineStr">
        <is>
          <t>BOLLEBYGD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70708-2021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44537</v>
      </c>
      <c r="E229" s="1" t="n">
        <v>46262</v>
      </c>
      <c r="F229" t="inlineStr">
        <is>
          <t>VÄSTRA GÖTALANDS LÄN</t>
        </is>
      </c>
      <c r="G229" t="inlineStr">
        <is>
          <t>BOLLEBYGD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46262</v>
      </c>
      <c r="F230" t="inlineStr">
        <is>
          <t>VÄSTRA GÖTALANDS LÄN</t>
        </is>
      </c>
      <c r="G230" t="inlineStr">
        <is>
          <t>BOLLEBYGD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46262</v>
      </c>
      <c r="F231" t="inlineStr">
        <is>
          <t>VÄSTRA GÖTALANDS LÄN</t>
        </is>
      </c>
      <c r="G231" t="inlineStr">
        <is>
          <t>BOLLEBYGD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45254</v>
      </c>
      <c r="E232" s="1" t="n">
        <v>46262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45112</v>
      </c>
      <c r="E233" s="1" t="n">
        <v>46262</v>
      </c>
      <c r="F233" t="inlineStr">
        <is>
          <t>VÄSTRA GÖTALANDS LÄN</t>
        </is>
      </c>
      <c r="G233" t="inlineStr">
        <is>
          <t>BOLLEBYGD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46262</v>
      </c>
      <c r="F234" t="inlineStr">
        <is>
          <t>VÄSTRA GÖTALANDS LÄN</t>
        </is>
      </c>
      <c r="G234" t="inlineStr">
        <is>
          <t>BOLLEBYGD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45453</v>
      </c>
      <c r="E235" s="1" t="n">
        <v>46262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46262</v>
      </c>
      <c r="F236" t="inlineStr">
        <is>
          <t>VÄSTRA GÖTALANDS LÄN</t>
        </is>
      </c>
      <c r="G236" t="inlineStr">
        <is>
          <t>BOLLEBYGD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17434-2026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46120</v>
      </c>
      <c r="E237" s="1" t="n">
        <v>46262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46259</v>
      </c>
      <c r="E238" s="1" t="n">
        <v>46262</v>
      </c>
      <c r="F238" t="inlineStr">
        <is>
          <t>VÄSTRA GÖTALANDS LÄN</t>
        </is>
      </c>
      <c r="G238" t="inlineStr">
        <is>
          <t>BOLLEBYGD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46262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46262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46262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2026-08-28T01:50:01Z</dcterms:created>
  <dcterms:modified xmlns:dcterms="http://purl.org/dc/terms/" xmlns:xsi="http://www.w3.org/2001/XMLSchema-instance" xsi:type="dcterms:W3CDTF">2026-08-28T01:50:02Z</dcterms:modified>
</cp:coreProperties>
</file>