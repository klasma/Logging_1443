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5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12131-2024</t>
        </is>
      </c>
      <c r="B2" s="1" t="n">
        <v>45377</v>
      </c>
      <c r="C2" s="1" t="n">
        <v>45883</v>
      </c>
      <c r="D2" t="inlineStr">
        <is>
          <t>VÄSTRA GÖTALANDS LÄN</t>
        </is>
      </c>
      <c r="E2" t="inlineStr">
        <is>
          <t>BOLLEBYGD</t>
        </is>
      </c>
      <c r="F2" t="inlineStr">
        <is>
          <t>Kommuner</t>
        </is>
      </c>
      <c r="G2" t="n">
        <v>2.1</v>
      </c>
      <c r="H2" t="n">
        <v>3</v>
      </c>
      <c r="I2" t="n">
        <v>2</v>
      </c>
      <c r="J2" t="n">
        <v>1</v>
      </c>
      <c r="K2" t="n">
        <v>0</v>
      </c>
      <c r="L2" t="n">
        <v>0</v>
      </c>
      <c r="M2" t="n">
        <v>0</v>
      </c>
      <c r="N2" t="n">
        <v>0</v>
      </c>
      <c r="O2" t="n">
        <v>1</v>
      </c>
      <c r="P2" t="n">
        <v>0</v>
      </c>
      <c r="Q2" t="n">
        <v>5</v>
      </c>
      <c r="R2" s="2" t="inlineStr">
        <is>
          <t>Talltita
Kattfotslav
Vedticka
Orre
Tjäder</t>
        </is>
      </c>
      <c r="S2">
        <f>HYPERLINK("https://klasma.github.io/Logging_1443/artfynd/A 12131-2024 artfynd.xlsx", "A 12131-2024")</f>
        <v/>
      </c>
      <c r="T2">
        <f>HYPERLINK("https://klasma.github.io/Logging_1443/kartor/A 12131-2024 karta.png", "A 12131-2024")</f>
        <v/>
      </c>
      <c r="V2">
        <f>HYPERLINK("https://klasma.github.io/Logging_1443/klagomål/A 12131-2024 FSC-klagomål.docx", "A 12131-2024")</f>
        <v/>
      </c>
      <c r="W2">
        <f>HYPERLINK("https://klasma.github.io/Logging_1443/klagomålsmail/A 12131-2024 FSC-klagomål mail.docx", "A 12131-2024")</f>
        <v/>
      </c>
      <c r="X2">
        <f>HYPERLINK("https://klasma.github.io/Logging_1443/tillsyn/A 12131-2024 tillsynsbegäran.docx", "A 12131-2024")</f>
        <v/>
      </c>
      <c r="Y2">
        <f>HYPERLINK("https://klasma.github.io/Logging_1443/tillsynsmail/A 12131-2024 tillsynsbegäran mail.docx", "A 12131-2024")</f>
        <v/>
      </c>
      <c r="Z2">
        <f>HYPERLINK("https://klasma.github.io/Logging_1443/fåglar/A 12131-2024 prioriterade fågelarter.docx", "A 12131-2024")</f>
        <v/>
      </c>
    </row>
    <row r="3" ht="15" customHeight="1">
      <c r="A3" t="inlineStr">
        <is>
          <t>A 65506-2020</t>
        </is>
      </c>
      <c r="B3" s="1" t="n">
        <v>44173</v>
      </c>
      <c r="C3" s="1" t="n">
        <v>45883</v>
      </c>
      <c r="D3" t="inlineStr">
        <is>
          <t>VÄSTRA GÖTALANDS LÄN</t>
        </is>
      </c>
      <c r="E3" t="inlineStr">
        <is>
          <t>BOLLEBYGD</t>
        </is>
      </c>
      <c r="G3" t="n">
        <v>5.6</v>
      </c>
      <c r="H3" t="n">
        <v>2</v>
      </c>
      <c r="I3" t="n">
        <v>1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2</v>
      </c>
      <c r="R3" s="2" t="inlineStr">
        <is>
          <t>Korallrot
Revlummer</t>
        </is>
      </c>
      <c r="S3">
        <f>HYPERLINK("https://klasma.github.io/Logging_1443/artfynd/A 65506-2020 artfynd.xlsx", "A 65506-2020")</f>
        <v/>
      </c>
      <c r="T3">
        <f>HYPERLINK("https://klasma.github.io/Logging_1443/kartor/A 65506-2020 karta.png", "A 65506-2020")</f>
        <v/>
      </c>
      <c r="V3">
        <f>HYPERLINK("https://klasma.github.io/Logging_1443/klagomål/A 65506-2020 FSC-klagomål.docx", "A 65506-2020")</f>
        <v/>
      </c>
      <c r="W3">
        <f>HYPERLINK("https://klasma.github.io/Logging_1443/klagomålsmail/A 65506-2020 FSC-klagomål mail.docx", "A 65506-2020")</f>
        <v/>
      </c>
      <c r="X3">
        <f>HYPERLINK("https://klasma.github.io/Logging_1443/tillsyn/A 65506-2020 tillsynsbegäran.docx", "A 65506-2020")</f>
        <v/>
      </c>
      <c r="Y3">
        <f>HYPERLINK("https://klasma.github.io/Logging_1443/tillsynsmail/A 65506-2020 tillsynsbegäran mail.docx", "A 65506-2020")</f>
        <v/>
      </c>
    </row>
    <row r="4" ht="15" customHeight="1">
      <c r="A4" t="inlineStr">
        <is>
          <t>A 12691-2024</t>
        </is>
      </c>
      <c r="B4" s="1" t="n">
        <v>45384</v>
      </c>
      <c r="C4" s="1" t="n">
        <v>45883</v>
      </c>
      <c r="D4" t="inlineStr">
        <is>
          <t>VÄSTRA GÖTALANDS LÄN</t>
        </is>
      </c>
      <c r="E4" t="inlineStr">
        <is>
          <t>BOLLEBYGD</t>
        </is>
      </c>
      <c r="F4" t="inlineStr">
        <is>
          <t>Kommuner</t>
        </is>
      </c>
      <c r="G4" t="n">
        <v>2.1</v>
      </c>
      <c r="H4" t="n">
        <v>2</v>
      </c>
      <c r="I4" t="n">
        <v>0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2</v>
      </c>
      <c r="R4" s="2" t="inlineStr">
        <is>
          <t>Spillkråka
Orre</t>
        </is>
      </c>
      <c r="S4">
        <f>HYPERLINK("https://klasma.github.io/Logging_1443/artfynd/A 12691-2024 artfynd.xlsx", "A 12691-2024")</f>
        <v/>
      </c>
      <c r="T4">
        <f>HYPERLINK("https://klasma.github.io/Logging_1443/kartor/A 12691-2024 karta.png", "A 12691-2024")</f>
        <v/>
      </c>
      <c r="V4">
        <f>HYPERLINK("https://klasma.github.io/Logging_1443/klagomål/A 12691-2024 FSC-klagomål.docx", "A 12691-2024")</f>
        <v/>
      </c>
      <c r="W4">
        <f>HYPERLINK("https://klasma.github.io/Logging_1443/klagomålsmail/A 12691-2024 FSC-klagomål mail.docx", "A 12691-2024")</f>
        <v/>
      </c>
      <c r="X4">
        <f>HYPERLINK("https://klasma.github.io/Logging_1443/tillsyn/A 12691-2024 tillsynsbegäran.docx", "A 12691-2024")</f>
        <v/>
      </c>
      <c r="Y4">
        <f>HYPERLINK("https://klasma.github.io/Logging_1443/tillsynsmail/A 12691-2024 tillsynsbegäran mail.docx", "A 12691-2024")</f>
        <v/>
      </c>
      <c r="Z4">
        <f>HYPERLINK("https://klasma.github.io/Logging_1443/fåglar/A 12691-2024 prioriterade fågelarter.docx", "A 12691-2024")</f>
        <v/>
      </c>
    </row>
    <row r="5" ht="15" customHeight="1">
      <c r="A5" t="inlineStr">
        <is>
          <t>A 13740-2024</t>
        </is>
      </c>
      <c r="B5" s="1" t="n">
        <v>45390</v>
      </c>
      <c r="C5" s="1" t="n">
        <v>45883</v>
      </c>
      <c r="D5" t="inlineStr">
        <is>
          <t>VÄSTRA GÖTALANDS LÄN</t>
        </is>
      </c>
      <c r="E5" t="inlineStr">
        <is>
          <t>BOLLEBYGD</t>
        </is>
      </c>
      <c r="F5" t="inlineStr">
        <is>
          <t>Kommuner</t>
        </is>
      </c>
      <c r="G5" t="n">
        <v>2.6</v>
      </c>
      <c r="H5" t="n">
        <v>2</v>
      </c>
      <c r="I5" t="n">
        <v>0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2</v>
      </c>
      <c r="R5" s="2" t="inlineStr">
        <is>
          <t>Talltita
Tjäder</t>
        </is>
      </c>
      <c r="S5">
        <f>HYPERLINK("https://klasma.github.io/Logging_1443/artfynd/A 13740-2024 artfynd.xlsx", "A 13740-2024")</f>
        <v/>
      </c>
      <c r="T5">
        <f>HYPERLINK("https://klasma.github.io/Logging_1443/kartor/A 13740-2024 karta.png", "A 13740-2024")</f>
        <v/>
      </c>
      <c r="V5">
        <f>HYPERLINK("https://klasma.github.io/Logging_1443/klagomål/A 13740-2024 FSC-klagomål.docx", "A 13740-2024")</f>
        <v/>
      </c>
      <c r="W5">
        <f>HYPERLINK("https://klasma.github.io/Logging_1443/klagomålsmail/A 13740-2024 FSC-klagomål mail.docx", "A 13740-2024")</f>
        <v/>
      </c>
      <c r="X5">
        <f>HYPERLINK("https://klasma.github.io/Logging_1443/tillsyn/A 13740-2024 tillsynsbegäran.docx", "A 13740-2024")</f>
        <v/>
      </c>
      <c r="Y5">
        <f>HYPERLINK("https://klasma.github.io/Logging_1443/tillsynsmail/A 13740-2024 tillsynsbegäran mail.docx", "A 13740-2024")</f>
        <v/>
      </c>
      <c r="Z5">
        <f>HYPERLINK("https://klasma.github.io/Logging_1443/fåglar/A 13740-2024 prioriterade fågelarter.docx", "A 13740-2024")</f>
        <v/>
      </c>
    </row>
    <row r="6" ht="15" customHeight="1">
      <c r="A6" t="inlineStr">
        <is>
          <t>A 31843-2021</t>
        </is>
      </c>
      <c r="B6" s="1" t="n">
        <v>44370</v>
      </c>
      <c r="C6" s="1" t="n">
        <v>45883</v>
      </c>
      <c r="D6" t="inlineStr">
        <is>
          <t>VÄSTRA GÖTALANDS LÄN</t>
        </is>
      </c>
      <c r="E6" t="inlineStr">
        <is>
          <t>BOLLEBYGD</t>
        </is>
      </c>
      <c r="G6" t="n">
        <v>5.4</v>
      </c>
      <c r="H6" t="n">
        <v>2</v>
      </c>
      <c r="I6" t="n">
        <v>0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2</v>
      </c>
      <c r="R6" s="2" t="inlineStr">
        <is>
          <t>Spillkråka
Talltita</t>
        </is>
      </c>
      <c r="S6">
        <f>HYPERLINK("https://klasma.github.io/Logging_1443/artfynd/A 31843-2021 artfynd.xlsx", "A 31843-2021")</f>
        <v/>
      </c>
      <c r="T6">
        <f>HYPERLINK("https://klasma.github.io/Logging_1443/kartor/A 31843-2021 karta.png", "A 31843-2021")</f>
        <v/>
      </c>
      <c r="V6">
        <f>HYPERLINK("https://klasma.github.io/Logging_1443/klagomål/A 31843-2021 FSC-klagomål.docx", "A 31843-2021")</f>
        <v/>
      </c>
      <c r="W6">
        <f>HYPERLINK("https://klasma.github.io/Logging_1443/klagomålsmail/A 31843-2021 FSC-klagomål mail.docx", "A 31843-2021")</f>
        <v/>
      </c>
      <c r="X6">
        <f>HYPERLINK("https://klasma.github.io/Logging_1443/tillsyn/A 31843-2021 tillsynsbegäran.docx", "A 31843-2021")</f>
        <v/>
      </c>
      <c r="Y6">
        <f>HYPERLINK("https://klasma.github.io/Logging_1443/tillsynsmail/A 31843-2021 tillsynsbegäran mail.docx", "A 31843-2021")</f>
        <v/>
      </c>
      <c r="Z6">
        <f>HYPERLINK("https://klasma.github.io/Logging_1443/fåglar/A 31843-2021 prioriterade fågelarter.docx", "A 31843-2021")</f>
        <v/>
      </c>
    </row>
    <row r="7" ht="15" customHeight="1">
      <c r="A7" t="inlineStr">
        <is>
          <t>A 31742-2023</t>
        </is>
      </c>
      <c r="B7" s="1" t="n">
        <v>45117</v>
      </c>
      <c r="C7" s="1" t="n">
        <v>45883</v>
      </c>
      <c r="D7" t="inlineStr">
        <is>
          <t>VÄSTRA GÖTALANDS LÄN</t>
        </is>
      </c>
      <c r="E7" t="inlineStr">
        <is>
          <t>BOLLEBYGD</t>
        </is>
      </c>
      <c r="G7" t="n">
        <v>2.9</v>
      </c>
      <c r="H7" t="n">
        <v>1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1</v>
      </c>
      <c r="R7" s="2" t="inlineStr">
        <is>
          <t>Spillkråka</t>
        </is>
      </c>
      <c r="S7">
        <f>HYPERLINK("https://klasma.github.io/Logging_1443/artfynd/A 31742-2023 artfynd.xlsx", "A 31742-2023")</f>
        <v/>
      </c>
      <c r="T7">
        <f>HYPERLINK("https://klasma.github.io/Logging_1443/kartor/A 31742-2023 karta.png", "A 31742-2023")</f>
        <v/>
      </c>
      <c r="V7">
        <f>HYPERLINK("https://klasma.github.io/Logging_1443/klagomål/A 31742-2023 FSC-klagomål.docx", "A 31742-2023")</f>
        <v/>
      </c>
      <c r="W7">
        <f>HYPERLINK("https://klasma.github.io/Logging_1443/klagomålsmail/A 31742-2023 FSC-klagomål mail.docx", "A 31742-2023")</f>
        <v/>
      </c>
      <c r="X7">
        <f>HYPERLINK("https://klasma.github.io/Logging_1443/tillsyn/A 31742-2023 tillsynsbegäran.docx", "A 31742-2023")</f>
        <v/>
      </c>
      <c r="Y7">
        <f>HYPERLINK("https://klasma.github.io/Logging_1443/tillsynsmail/A 31742-2023 tillsynsbegäran mail.docx", "A 31742-2023")</f>
        <v/>
      </c>
      <c r="Z7">
        <f>HYPERLINK("https://klasma.github.io/Logging_1443/fåglar/A 31742-2023 prioriterade fågelarter.docx", "A 31742-2023")</f>
        <v/>
      </c>
    </row>
    <row r="8" ht="15" customHeight="1">
      <c r="A8" t="inlineStr">
        <is>
          <t>A 30777-2023</t>
        </is>
      </c>
      <c r="B8" s="1" t="n">
        <v>45112</v>
      </c>
      <c r="C8" s="1" t="n">
        <v>45883</v>
      </c>
      <c r="D8" t="inlineStr">
        <is>
          <t>VÄSTRA GÖTALANDS LÄN</t>
        </is>
      </c>
      <c r="E8" t="inlineStr">
        <is>
          <t>BOLLEBYGD</t>
        </is>
      </c>
      <c r="G8" t="n">
        <v>6.2</v>
      </c>
      <c r="H8" t="n">
        <v>1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Grönvit nattviol</t>
        </is>
      </c>
      <c r="S8">
        <f>HYPERLINK("https://klasma.github.io/Logging_1443/artfynd/A 30777-2023 artfynd.xlsx", "A 30777-2023")</f>
        <v/>
      </c>
      <c r="T8">
        <f>HYPERLINK("https://klasma.github.io/Logging_1443/kartor/A 30777-2023 karta.png", "A 30777-2023")</f>
        <v/>
      </c>
      <c r="V8">
        <f>HYPERLINK("https://klasma.github.io/Logging_1443/klagomål/A 30777-2023 FSC-klagomål.docx", "A 30777-2023")</f>
        <v/>
      </c>
      <c r="W8">
        <f>HYPERLINK("https://klasma.github.io/Logging_1443/klagomålsmail/A 30777-2023 FSC-klagomål mail.docx", "A 30777-2023")</f>
        <v/>
      </c>
      <c r="X8">
        <f>HYPERLINK("https://klasma.github.io/Logging_1443/tillsyn/A 30777-2023 tillsynsbegäran.docx", "A 30777-2023")</f>
        <v/>
      </c>
      <c r="Y8">
        <f>HYPERLINK("https://klasma.github.io/Logging_1443/tillsynsmail/A 30777-2023 tillsynsbegäran mail.docx", "A 30777-2023")</f>
        <v/>
      </c>
    </row>
    <row r="9" ht="15" customHeight="1">
      <c r="A9" t="inlineStr">
        <is>
          <t>A 13739-2024</t>
        </is>
      </c>
      <c r="B9" s="1" t="n">
        <v>45390</v>
      </c>
      <c r="C9" s="1" t="n">
        <v>45883</v>
      </c>
      <c r="D9" t="inlineStr">
        <is>
          <t>VÄSTRA GÖTALANDS LÄN</t>
        </is>
      </c>
      <c r="E9" t="inlineStr">
        <is>
          <t>BOLLEBYGD</t>
        </is>
      </c>
      <c r="F9" t="inlineStr">
        <is>
          <t>Kommuner</t>
        </is>
      </c>
      <c r="G9" t="n">
        <v>2.8</v>
      </c>
      <c r="H9" t="n">
        <v>0</v>
      </c>
      <c r="I9" t="n">
        <v>1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Kattfotslav</t>
        </is>
      </c>
      <c r="S9">
        <f>HYPERLINK("https://klasma.github.io/Logging_1443/artfynd/A 13739-2024 artfynd.xlsx", "A 13739-2024")</f>
        <v/>
      </c>
      <c r="T9">
        <f>HYPERLINK("https://klasma.github.io/Logging_1443/kartor/A 13739-2024 karta.png", "A 13739-2024")</f>
        <v/>
      </c>
      <c r="V9">
        <f>HYPERLINK("https://klasma.github.io/Logging_1443/klagomål/A 13739-2024 FSC-klagomål.docx", "A 13739-2024")</f>
        <v/>
      </c>
      <c r="W9">
        <f>HYPERLINK("https://klasma.github.io/Logging_1443/klagomålsmail/A 13739-2024 FSC-klagomål mail.docx", "A 13739-2024")</f>
        <v/>
      </c>
      <c r="X9">
        <f>HYPERLINK("https://klasma.github.io/Logging_1443/tillsyn/A 13739-2024 tillsynsbegäran.docx", "A 13739-2024")</f>
        <v/>
      </c>
      <c r="Y9">
        <f>HYPERLINK("https://klasma.github.io/Logging_1443/tillsynsmail/A 13739-2024 tillsynsbegäran mail.docx", "A 13739-2024")</f>
        <v/>
      </c>
    </row>
    <row r="10" ht="15" customHeight="1">
      <c r="A10" t="inlineStr">
        <is>
          <t>A 30653-2023</t>
        </is>
      </c>
      <c r="B10" s="1" t="n">
        <v>45112</v>
      </c>
      <c r="C10" s="1" t="n">
        <v>45883</v>
      </c>
      <c r="D10" t="inlineStr">
        <is>
          <t>VÄSTRA GÖTALANDS LÄN</t>
        </is>
      </c>
      <c r="E10" t="inlineStr">
        <is>
          <t>BOLLEBYGD</t>
        </is>
      </c>
      <c r="G10" t="n">
        <v>3</v>
      </c>
      <c r="H10" t="n">
        <v>1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Tjäder</t>
        </is>
      </c>
      <c r="S10">
        <f>HYPERLINK("https://klasma.github.io/Logging_1443/artfynd/A 30653-2023 artfynd.xlsx", "A 30653-2023")</f>
        <v/>
      </c>
      <c r="T10">
        <f>HYPERLINK("https://klasma.github.io/Logging_1443/kartor/A 30653-2023 karta.png", "A 30653-2023")</f>
        <v/>
      </c>
      <c r="V10">
        <f>HYPERLINK("https://klasma.github.io/Logging_1443/klagomål/A 30653-2023 FSC-klagomål.docx", "A 30653-2023")</f>
        <v/>
      </c>
      <c r="W10">
        <f>HYPERLINK("https://klasma.github.io/Logging_1443/klagomålsmail/A 30653-2023 FSC-klagomål mail.docx", "A 30653-2023")</f>
        <v/>
      </c>
      <c r="X10">
        <f>HYPERLINK("https://klasma.github.io/Logging_1443/tillsyn/A 30653-2023 tillsynsbegäran.docx", "A 30653-2023")</f>
        <v/>
      </c>
      <c r="Y10">
        <f>HYPERLINK("https://klasma.github.io/Logging_1443/tillsynsmail/A 30653-2023 tillsynsbegäran mail.docx", "A 30653-2023")</f>
        <v/>
      </c>
      <c r="Z10">
        <f>HYPERLINK("https://klasma.github.io/Logging_1443/fåglar/A 30653-2023 prioriterade fågelarter.docx", "A 30653-2023")</f>
        <v/>
      </c>
    </row>
    <row r="11" ht="15" customHeight="1">
      <c r="A11" t="inlineStr">
        <is>
          <t>A 30785-2023</t>
        </is>
      </c>
      <c r="B11" s="1" t="n">
        <v>45112</v>
      </c>
      <c r="C11" s="1" t="n">
        <v>45883</v>
      </c>
      <c r="D11" t="inlineStr">
        <is>
          <t>VÄSTRA GÖTALANDS LÄN</t>
        </is>
      </c>
      <c r="E11" t="inlineStr">
        <is>
          <t>BOLLEBYGD</t>
        </is>
      </c>
      <c r="G11" t="n">
        <v>3.4</v>
      </c>
      <c r="H11" t="n">
        <v>1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Revlummer</t>
        </is>
      </c>
      <c r="S11">
        <f>HYPERLINK("https://klasma.github.io/Logging_1443/artfynd/A 30785-2023 artfynd.xlsx", "A 30785-2023")</f>
        <v/>
      </c>
      <c r="T11">
        <f>HYPERLINK("https://klasma.github.io/Logging_1443/kartor/A 30785-2023 karta.png", "A 30785-2023")</f>
        <v/>
      </c>
      <c r="V11">
        <f>HYPERLINK("https://klasma.github.io/Logging_1443/klagomål/A 30785-2023 FSC-klagomål.docx", "A 30785-2023")</f>
        <v/>
      </c>
      <c r="W11">
        <f>HYPERLINK("https://klasma.github.io/Logging_1443/klagomålsmail/A 30785-2023 FSC-klagomål mail.docx", "A 30785-2023")</f>
        <v/>
      </c>
      <c r="X11">
        <f>HYPERLINK("https://klasma.github.io/Logging_1443/tillsyn/A 30785-2023 tillsynsbegäran.docx", "A 30785-2023")</f>
        <v/>
      </c>
      <c r="Y11">
        <f>HYPERLINK("https://klasma.github.io/Logging_1443/tillsynsmail/A 30785-2023 tillsynsbegäran mail.docx", "A 30785-2023")</f>
        <v/>
      </c>
    </row>
    <row r="12" ht="15" customHeight="1">
      <c r="A12" t="inlineStr">
        <is>
          <t>A 65581-2020</t>
        </is>
      </c>
      <c r="B12" s="1" t="n">
        <v>44173</v>
      </c>
      <c r="C12" s="1" t="n">
        <v>45883</v>
      </c>
      <c r="D12" t="inlineStr">
        <is>
          <t>VÄSTRA GÖTALANDS LÄN</t>
        </is>
      </c>
      <c r="E12" t="inlineStr">
        <is>
          <t>BOLLEBYGD</t>
        </is>
      </c>
      <c r="F12" t="inlineStr">
        <is>
          <t>Kommuner</t>
        </is>
      </c>
      <c r="G12" t="n">
        <v>1.6</v>
      </c>
      <c r="H12" t="n">
        <v>1</v>
      </c>
      <c r="I12" t="n">
        <v>0</v>
      </c>
      <c r="J12" t="n">
        <v>0</v>
      </c>
      <c r="K12" t="n">
        <v>1</v>
      </c>
      <c r="L12" t="n">
        <v>0</v>
      </c>
      <c r="M12" t="n">
        <v>0</v>
      </c>
      <c r="N12" t="n">
        <v>0</v>
      </c>
      <c r="O12" t="n">
        <v>1</v>
      </c>
      <c r="P12" t="n">
        <v>1</v>
      </c>
      <c r="Q12" t="n">
        <v>1</v>
      </c>
      <c r="R12" s="2" t="inlineStr">
        <is>
          <t>Knärot</t>
        </is>
      </c>
      <c r="S12">
        <f>HYPERLINK("https://klasma.github.io/Logging_1443/artfynd/A 65581-2020 artfynd.xlsx", "A 65581-2020")</f>
        <v/>
      </c>
      <c r="T12">
        <f>HYPERLINK("https://klasma.github.io/Logging_1443/kartor/A 65581-2020 karta.png", "A 65581-2020")</f>
        <v/>
      </c>
      <c r="U12">
        <f>HYPERLINK("https://klasma.github.io/Logging_1443/knärot/A 65581-2020 karta knärot.png", "A 65581-2020")</f>
        <v/>
      </c>
      <c r="V12">
        <f>HYPERLINK("https://klasma.github.io/Logging_1443/klagomål/A 65581-2020 FSC-klagomål.docx", "A 65581-2020")</f>
        <v/>
      </c>
      <c r="W12">
        <f>HYPERLINK("https://klasma.github.io/Logging_1443/klagomålsmail/A 65581-2020 FSC-klagomål mail.docx", "A 65581-2020")</f>
        <v/>
      </c>
      <c r="X12">
        <f>HYPERLINK("https://klasma.github.io/Logging_1443/tillsyn/A 65581-2020 tillsynsbegäran.docx", "A 65581-2020")</f>
        <v/>
      </c>
      <c r="Y12">
        <f>HYPERLINK("https://klasma.github.io/Logging_1443/tillsynsmail/A 65581-2020 tillsynsbegäran mail.docx", "A 65581-2020")</f>
        <v/>
      </c>
    </row>
    <row r="13" ht="15" customHeight="1">
      <c r="A13" t="inlineStr">
        <is>
          <t>A 30666-2023</t>
        </is>
      </c>
      <c r="B13" s="1" t="n">
        <v>45112</v>
      </c>
      <c r="C13" s="1" t="n">
        <v>45883</v>
      </c>
      <c r="D13" t="inlineStr">
        <is>
          <t>VÄSTRA GÖTALANDS LÄN</t>
        </is>
      </c>
      <c r="E13" t="inlineStr">
        <is>
          <t>BOLLEBYGD</t>
        </is>
      </c>
      <c r="G13" t="n">
        <v>1.1</v>
      </c>
      <c r="H13" t="n">
        <v>1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Talltita</t>
        </is>
      </c>
      <c r="S13">
        <f>HYPERLINK("https://klasma.github.io/Logging_1443/artfynd/A 30666-2023 artfynd.xlsx", "A 30666-2023")</f>
        <v/>
      </c>
      <c r="T13">
        <f>HYPERLINK("https://klasma.github.io/Logging_1443/kartor/A 30666-2023 karta.png", "A 30666-2023")</f>
        <v/>
      </c>
      <c r="V13">
        <f>HYPERLINK("https://klasma.github.io/Logging_1443/klagomål/A 30666-2023 FSC-klagomål.docx", "A 30666-2023")</f>
        <v/>
      </c>
      <c r="W13">
        <f>HYPERLINK("https://klasma.github.io/Logging_1443/klagomålsmail/A 30666-2023 FSC-klagomål mail.docx", "A 30666-2023")</f>
        <v/>
      </c>
      <c r="X13">
        <f>HYPERLINK("https://klasma.github.io/Logging_1443/tillsyn/A 30666-2023 tillsynsbegäran.docx", "A 30666-2023")</f>
        <v/>
      </c>
      <c r="Y13">
        <f>HYPERLINK("https://klasma.github.io/Logging_1443/tillsynsmail/A 30666-2023 tillsynsbegäran mail.docx", "A 30666-2023")</f>
        <v/>
      </c>
      <c r="Z13">
        <f>HYPERLINK("https://klasma.github.io/Logging_1443/fåglar/A 30666-2023 prioriterade fågelarter.docx", "A 30666-2023")</f>
        <v/>
      </c>
    </row>
    <row r="14" ht="15" customHeight="1">
      <c r="A14" t="inlineStr">
        <is>
          <t>A 30671-2023</t>
        </is>
      </c>
      <c r="B14" s="1" t="n">
        <v>45112</v>
      </c>
      <c r="C14" s="1" t="n">
        <v>45883</v>
      </c>
      <c r="D14" t="inlineStr">
        <is>
          <t>VÄSTRA GÖTALANDS LÄN</t>
        </is>
      </c>
      <c r="E14" t="inlineStr">
        <is>
          <t>BOLLEBYGD</t>
        </is>
      </c>
      <c r="G14" t="n">
        <v>4.9</v>
      </c>
      <c r="H14" t="n">
        <v>1</v>
      </c>
      <c r="I14" t="n">
        <v>0</v>
      </c>
      <c r="J14" t="n">
        <v>0</v>
      </c>
      <c r="K14" t="n">
        <v>1</v>
      </c>
      <c r="L14" t="n">
        <v>0</v>
      </c>
      <c r="M14" t="n">
        <v>0</v>
      </c>
      <c r="N14" t="n">
        <v>0</v>
      </c>
      <c r="O14" t="n">
        <v>1</v>
      </c>
      <c r="P14" t="n">
        <v>1</v>
      </c>
      <c r="Q14" t="n">
        <v>1</v>
      </c>
      <c r="R14" s="2" t="inlineStr">
        <is>
          <t>Knärot</t>
        </is>
      </c>
      <c r="S14">
        <f>HYPERLINK("https://klasma.github.io/Logging_1443/artfynd/A 30671-2023 artfynd.xlsx", "A 30671-2023")</f>
        <v/>
      </c>
      <c r="T14">
        <f>HYPERLINK("https://klasma.github.io/Logging_1443/kartor/A 30671-2023 karta.png", "A 30671-2023")</f>
        <v/>
      </c>
      <c r="U14">
        <f>HYPERLINK("https://klasma.github.io/Logging_1443/knärot/A 30671-2023 karta knärot.png", "A 30671-2023")</f>
        <v/>
      </c>
      <c r="V14">
        <f>HYPERLINK("https://klasma.github.io/Logging_1443/klagomål/A 30671-2023 FSC-klagomål.docx", "A 30671-2023")</f>
        <v/>
      </c>
      <c r="W14">
        <f>HYPERLINK("https://klasma.github.io/Logging_1443/klagomålsmail/A 30671-2023 FSC-klagomål mail.docx", "A 30671-2023")</f>
        <v/>
      </c>
      <c r="X14">
        <f>HYPERLINK("https://klasma.github.io/Logging_1443/tillsyn/A 30671-2023 tillsynsbegäran.docx", "A 30671-2023")</f>
        <v/>
      </c>
      <c r="Y14">
        <f>HYPERLINK("https://klasma.github.io/Logging_1443/tillsynsmail/A 30671-2023 tillsynsbegäran mail.docx", "A 30671-2023")</f>
        <v/>
      </c>
    </row>
    <row r="15" ht="15" customHeight="1">
      <c r="A15" t="inlineStr">
        <is>
          <t>A 32859-2025</t>
        </is>
      </c>
      <c r="B15" s="1" t="n">
        <v>45839.58148148148</v>
      </c>
      <c r="C15" s="1" t="n">
        <v>45883</v>
      </c>
      <c r="D15" t="inlineStr">
        <is>
          <t>VÄSTRA GÖTALANDS LÄN</t>
        </is>
      </c>
      <c r="E15" t="inlineStr">
        <is>
          <t>BOLLEBYGD</t>
        </is>
      </c>
      <c r="G15" t="n">
        <v>3.2</v>
      </c>
      <c r="H15" t="n">
        <v>1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Revlummer</t>
        </is>
      </c>
      <c r="S15">
        <f>HYPERLINK("https://klasma.github.io/Logging_1443/artfynd/A 32859-2025 artfynd.xlsx", "A 32859-2025")</f>
        <v/>
      </c>
      <c r="T15">
        <f>HYPERLINK("https://klasma.github.io/Logging_1443/kartor/A 32859-2025 karta.png", "A 32859-2025")</f>
        <v/>
      </c>
      <c r="V15">
        <f>HYPERLINK("https://klasma.github.io/Logging_1443/klagomål/A 32859-2025 FSC-klagomål.docx", "A 32859-2025")</f>
        <v/>
      </c>
      <c r="W15">
        <f>HYPERLINK("https://klasma.github.io/Logging_1443/klagomålsmail/A 32859-2025 FSC-klagomål mail.docx", "A 32859-2025")</f>
        <v/>
      </c>
      <c r="X15">
        <f>HYPERLINK("https://klasma.github.io/Logging_1443/tillsyn/A 32859-2025 tillsynsbegäran.docx", "A 32859-2025")</f>
        <v/>
      </c>
      <c r="Y15">
        <f>HYPERLINK("https://klasma.github.io/Logging_1443/tillsynsmail/A 32859-2025 tillsynsbegäran mail.docx", "A 32859-2025")</f>
        <v/>
      </c>
    </row>
    <row r="16" ht="15" customHeight="1">
      <c r="A16" t="inlineStr">
        <is>
          <t>A 44874-2020</t>
        </is>
      </c>
      <c r="B16" s="1" t="n">
        <v>44087</v>
      </c>
      <c r="C16" s="1" t="n">
        <v>45883</v>
      </c>
      <c r="D16" t="inlineStr">
        <is>
          <t>VÄSTRA GÖTALANDS LÄN</t>
        </is>
      </c>
      <c r="E16" t="inlineStr">
        <is>
          <t>BOLLEBYGD</t>
        </is>
      </c>
      <c r="G16" t="n">
        <v>3.2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3753-2021</t>
        </is>
      </c>
      <c r="B17" s="1" t="n">
        <v>44221</v>
      </c>
      <c r="C17" s="1" t="n">
        <v>45883</v>
      </c>
      <c r="D17" t="inlineStr">
        <is>
          <t>VÄSTRA GÖTALANDS LÄN</t>
        </is>
      </c>
      <c r="E17" t="inlineStr">
        <is>
          <t>BOLLEBYGD</t>
        </is>
      </c>
      <c r="G17" t="n">
        <v>1.1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42877-2021</t>
        </is>
      </c>
      <c r="B18" s="1" t="n">
        <v>44431</v>
      </c>
      <c r="C18" s="1" t="n">
        <v>45883</v>
      </c>
      <c r="D18" t="inlineStr">
        <is>
          <t>VÄSTRA GÖTALANDS LÄN</t>
        </is>
      </c>
      <c r="E18" t="inlineStr">
        <is>
          <t>BOLLEBYGD</t>
        </is>
      </c>
      <c r="G18" t="n">
        <v>1.1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14766-2021</t>
        </is>
      </c>
      <c r="B19" s="1" t="n">
        <v>44280</v>
      </c>
      <c r="C19" s="1" t="n">
        <v>45883</v>
      </c>
      <c r="D19" t="inlineStr">
        <is>
          <t>VÄSTRA GÖTALANDS LÄN</t>
        </is>
      </c>
      <c r="E19" t="inlineStr">
        <is>
          <t>BOLLEBYGD</t>
        </is>
      </c>
      <c r="G19" t="n">
        <v>1.9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31546-2022</t>
        </is>
      </c>
      <c r="B20" s="1" t="n">
        <v>44775</v>
      </c>
      <c r="C20" s="1" t="n">
        <v>45883</v>
      </c>
      <c r="D20" t="inlineStr">
        <is>
          <t>VÄSTRA GÖTALANDS LÄN</t>
        </is>
      </c>
      <c r="E20" t="inlineStr">
        <is>
          <t>BOLLEBYGD</t>
        </is>
      </c>
      <c r="G20" t="n">
        <v>1.3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50932-2020</t>
        </is>
      </c>
      <c r="B21" s="1" t="n">
        <v>44111</v>
      </c>
      <c r="C21" s="1" t="n">
        <v>45883</v>
      </c>
      <c r="D21" t="inlineStr">
        <is>
          <t>VÄSTRA GÖTALANDS LÄN</t>
        </is>
      </c>
      <c r="E21" t="inlineStr">
        <is>
          <t>BOLLEBYGD</t>
        </is>
      </c>
      <c r="G21" t="n">
        <v>7.6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42157-2021</t>
        </is>
      </c>
      <c r="B22" s="1" t="n">
        <v>44426.66753472222</v>
      </c>
      <c r="C22" s="1" t="n">
        <v>45883</v>
      </c>
      <c r="D22" t="inlineStr">
        <is>
          <t>VÄSTRA GÖTALANDS LÄN</t>
        </is>
      </c>
      <c r="E22" t="inlineStr">
        <is>
          <t>BOLLEBYGD</t>
        </is>
      </c>
      <c r="G22" t="n">
        <v>8.9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40201-2021</t>
        </is>
      </c>
      <c r="B23" s="1" t="n">
        <v>44418</v>
      </c>
      <c r="C23" s="1" t="n">
        <v>45883</v>
      </c>
      <c r="D23" t="inlineStr">
        <is>
          <t>VÄSTRA GÖTALANDS LÄN</t>
        </is>
      </c>
      <c r="E23" t="inlineStr">
        <is>
          <t>BOLLEBYGD</t>
        </is>
      </c>
      <c r="G23" t="n">
        <v>1.4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12367-2022</t>
        </is>
      </c>
      <c r="B24" s="1" t="n">
        <v>44637</v>
      </c>
      <c r="C24" s="1" t="n">
        <v>45883</v>
      </c>
      <c r="D24" t="inlineStr">
        <is>
          <t>VÄSTRA GÖTALANDS LÄN</t>
        </is>
      </c>
      <c r="E24" t="inlineStr">
        <is>
          <t>BOLLEBYGD</t>
        </is>
      </c>
      <c r="G24" t="n">
        <v>0.6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60991-2020</t>
        </is>
      </c>
      <c r="B25" s="1" t="n">
        <v>44154</v>
      </c>
      <c r="C25" s="1" t="n">
        <v>45883</v>
      </c>
      <c r="D25" t="inlineStr">
        <is>
          <t>VÄSTRA GÖTALANDS LÄN</t>
        </is>
      </c>
      <c r="E25" t="inlineStr">
        <is>
          <t>BOLLEBYGD</t>
        </is>
      </c>
      <c r="G25" t="n">
        <v>1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65803-2020</t>
        </is>
      </c>
      <c r="B26" s="1" t="n">
        <v>44174</v>
      </c>
      <c r="C26" s="1" t="n">
        <v>45883</v>
      </c>
      <c r="D26" t="inlineStr">
        <is>
          <t>VÄSTRA GÖTALANDS LÄN</t>
        </is>
      </c>
      <c r="E26" t="inlineStr">
        <is>
          <t>BOLLEBYGD</t>
        </is>
      </c>
      <c r="G26" t="n">
        <v>7.7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30774-2022</t>
        </is>
      </c>
      <c r="B27" s="1" t="n">
        <v>44764</v>
      </c>
      <c r="C27" s="1" t="n">
        <v>45883</v>
      </c>
      <c r="D27" t="inlineStr">
        <is>
          <t>VÄSTRA GÖTALANDS LÄN</t>
        </is>
      </c>
      <c r="E27" t="inlineStr">
        <is>
          <t>BOLLEBYGD</t>
        </is>
      </c>
      <c r="G27" t="n">
        <v>0.4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789-2022</t>
        </is>
      </c>
      <c r="B28" s="1" t="n">
        <v>44570.89018518518</v>
      </c>
      <c r="C28" s="1" t="n">
        <v>45883</v>
      </c>
      <c r="D28" t="inlineStr">
        <is>
          <t>VÄSTRA GÖTALANDS LÄN</t>
        </is>
      </c>
      <c r="E28" t="inlineStr">
        <is>
          <t>BOLLEBYGD</t>
        </is>
      </c>
      <c r="G28" t="n">
        <v>0.4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212-2021</t>
        </is>
      </c>
      <c r="B29" s="1" t="n">
        <v>44200</v>
      </c>
      <c r="C29" s="1" t="n">
        <v>45883</v>
      </c>
      <c r="D29" t="inlineStr">
        <is>
          <t>VÄSTRA GÖTALANDS LÄN</t>
        </is>
      </c>
      <c r="E29" t="inlineStr">
        <is>
          <t>BOLLEBYGD</t>
        </is>
      </c>
      <c r="G29" t="n">
        <v>2.9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67835-2020</t>
        </is>
      </c>
      <c r="B30" s="1" t="n">
        <v>44182</v>
      </c>
      <c r="C30" s="1" t="n">
        <v>45883</v>
      </c>
      <c r="D30" t="inlineStr">
        <is>
          <t>VÄSTRA GÖTALANDS LÄN</t>
        </is>
      </c>
      <c r="E30" t="inlineStr">
        <is>
          <t>BOLLEBYGD</t>
        </is>
      </c>
      <c r="G30" t="n">
        <v>6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24637-2022</t>
        </is>
      </c>
      <c r="B31" s="1" t="n">
        <v>44727</v>
      </c>
      <c r="C31" s="1" t="n">
        <v>45883</v>
      </c>
      <c r="D31" t="inlineStr">
        <is>
          <t>VÄSTRA GÖTALANDS LÄN</t>
        </is>
      </c>
      <c r="E31" t="inlineStr">
        <is>
          <t>BOLLEBYGD</t>
        </is>
      </c>
      <c r="F31" t="inlineStr">
        <is>
          <t>Kommuner</t>
        </is>
      </c>
      <c r="G31" t="n">
        <v>0.7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30179-2021</t>
        </is>
      </c>
      <c r="B32" s="1" t="n">
        <v>44363</v>
      </c>
      <c r="C32" s="1" t="n">
        <v>45883</v>
      </c>
      <c r="D32" t="inlineStr">
        <is>
          <t>VÄSTRA GÖTALANDS LÄN</t>
        </is>
      </c>
      <c r="E32" t="inlineStr">
        <is>
          <t>BOLLEBYGD</t>
        </is>
      </c>
      <c r="F32" t="inlineStr">
        <is>
          <t>Kyrkan</t>
        </is>
      </c>
      <c r="G32" t="n">
        <v>1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44873-2020</t>
        </is>
      </c>
      <c r="B33" s="1" t="n">
        <v>44087</v>
      </c>
      <c r="C33" s="1" t="n">
        <v>45883</v>
      </c>
      <c r="D33" t="inlineStr">
        <is>
          <t>VÄSTRA GÖTALANDS LÄN</t>
        </is>
      </c>
      <c r="E33" t="inlineStr">
        <is>
          <t>BOLLEBYGD</t>
        </is>
      </c>
      <c r="G33" t="n">
        <v>3.5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61943-2021</t>
        </is>
      </c>
      <c r="B34" s="1" t="n">
        <v>44502.41795138889</v>
      </c>
      <c r="C34" s="1" t="n">
        <v>45883</v>
      </c>
      <c r="D34" t="inlineStr">
        <is>
          <t>VÄSTRA GÖTALANDS LÄN</t>
        </is>
      </c>
      <c r="E34" t="inlineStr">
        <is>
          <t>BOLLEBYGD</t>
        </is>
      </c>
      <c r="G34" t="n">
        <v>0.9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50656-2020</t>
        </is>
      </c>
      <c r="B35" s="1" t="n">
        <v>44111</v>
      </c>
      <c r="C35" s="1" t="n">
        <v>45883</v>
      </c>
      <c r="D35" t="inlineStr">
        <is>
          <t>VÄSTRA GÖTALANDS LÄN</t>
        </is>
      </c>
      <c r="E35" t="inlineStr">
        <is>
          <t>BOLLEBYGD</t>
        </is>
      </c>
      <c r="G35" t="n">
        <v>3.5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65566-2020</t>
        </is>
      </c>
      <c r="B36" s="1" t="n">
        <v>44173</v>
      </c>
      <c r="C36" s="1" t="n">
        <v>45883</v>
      </c>
      <c r="D36" t="inlineStr">
        <is>
          <t>VÄSTRA GÖTALANDS LÄN</t>
        </is>
      </c>
      <c r="E36" t="inlineStr">
        <is>
          <t>BOLLEBYGD</t>
        </is>
      </c>
      <c r="F36" t="inlineStr">
        <is>
          <t>Kommuner</t>
        </is>
      </c>
      <c r="G36" t="n">
        <v>0.8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5633-2021</t>
        </is>
      </c>
      <c r="B37" s="1" t="n">
        <v>44230</v>
      </c>
      <c r="C37" s="1" t="n">
        <v>45883</v>
      </c>
      <c r="D37" t="inlineStr">
        <is>
          <t>VÄSTRA GÖTALANDS LÄN</t>
        </is>
      </c>
      <c r="E37" t="inlineStr">
        <is>
          <t>BOLLEBYGD</t>
        </is>
      </c>
      <c r="G37" t="n">
        <v>0.6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35089-2021</t>
        </is>
      </c>
      <c r="B38" s="1" t="n">
        <v>44383</v>
      </c>
      <c r="C38" s="1" t="n">
        <v>45883</v>
      </c>
      <c r="D38" t="inlineStr">
        <is>
          <t>VÄSTRA GÖTALANDS LÄN</t>
        </is>
      </c>
      <c r="E38" t="inlineStr">
        <is>
          <t>BOLLEBYGD</t>
        </is>
      </c>
      <c r="G38" t="n">
        <v>1.1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10302-2021</t>
        </is>
      </c>
      <c r="B39" s="1" t="n">
        <v>44257</v>
      </c>
      <c r="C39" s="1" t="n">
        <v>45883</v>
      </c>
      <c r="D39" t="inlineStr">
        <is>
          <t>VÄSTRA GÖTALANDS LÄN</t>
        </is>
      </c>
      <c r="E39" t="inlineStr">
        <is>
          <t>BOLLEBYGD</t>
        </is>
      </c>
      <c r="G39" t="n">
        <v>1.5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22724-2021</t>
        </is>
      </c>
      <c r="B40" s="1" t="n">
        <v>44327</v>
      </c>
      <c r="C40" s="1" t="n">
        <v>45883</v>
      </c>
      <c r="D40" t="inlineStr">
        <is>
          <t>VÄSTRA GÖTALANDS LÄN</t>
        </is>
      </c>
      <c r="E40" t="inlineStr">
        <is>
          <t>BOLLEBYGD</t>
        </is>
      </c>
      <c r="G40" t="n">
        <v>2.8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32017-2021</t>
        </is>
      </c>
      <c r="B41" s="1" t="n">
        <v>44370.63815972222</v>
      </c>
      <c r="C41" s="1" t="n">
        <v>45883</v>
      </c>
      <c r="D41" t="inlineStr">
        <is>
          <t>VÄSTRA GÖTALANDS LÄN</t>
        </is>
      </c>
      <c r="E41" t="inlineStr">
        <is>
          <t>BOLLEBYGD</t>
        </is>
      </c>
      <c r="G41" t="n">
        <v>2.5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69413-2021</t>
        </is>
      </c>
      <c r="B42" s="1" t="n">
        <v>44531.61189814815</v>
      </c>
      <c r="C42" s="1" t="n">
        <v>45883</v>
      </c>
      <c r="D42" t="inlineStr">
        <is>
          <t>VÄSTRA GÖTALANDS LÄN</t>
        </is>
      </c>
      <c r="E42" t="inlineStr">
        <is>
          <t>BOLLEBYGD</t>
        </is>
      </c>
      <c r="G42" t="n">
        <v>3.6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22114-2021</t>
        </is>
      </c>
      <c r="B43" s="1" t="n">
        <v>44323.72275462963</v>
      </c>
      <c r="C43" s="1" t="n">
        <v>45883</v>
      </c>
      <c r="D43" t="inlineStr">
        <is>
          <t>VÄSTRA GÖTALANDS LÄN</t>
        </is>
      </c>
      <c r="E43" t="inlineStr">
        <is>
          <t>BOLLEBYGD</t>
        </is>
      </c>
      <c r="G43" t="n">
        <v>0.5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48285-2021</t>
        </is>
      </c>
      <c r="B44" s="1" t="n">
        <v>44449.77408564815</v>
      </c>
      <c r="C44" s="1" t="n">
        <v>45883</v>
      </c>
      <c r="D44" t="inlineStr">
        <is>
          <t>VÄSTRA GÖTALANDS LÄN</t>
        </is>
      </c>
      <c r="E44" t="inlineStr">
        <is>
          <t>BOLLEBYGD</t>
        </is>
      </c>
      <c r="G44" t="n">
        <v>1.1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30177-2021</t>
        </is>
      </c>
      <c r="B45" s="1" t="n">
        <v>44363</v>
      </c>
      <c r="C45" s="1" t="n">
        <v>45883</v>
      </c>
      <c r="D45" t="inlineStr">
        <is>
          <t>VÄSTRA GÖTALANDS LÄN</t>
        </is>
      </c>
      <c r="E45" t="inlineStr">
        <is>
          <t>BOLLEBYGD</t>
        </is>
      </c>
      <c r="F45" t="inlineStr">
        <is>
          <t>Kyrkan</t>
        </is>
      </c>
      <c r="G45" t="n">
        <v>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39556-2022</t>
        </is>
      </c>
      <c r="B46" s="1" t="n">
        <v>44818.56305555555</v>
      </c>
      <c r="C46" s="1" t="n">
        <v>45883</v>
      </c>
      <c r="D46" t="inlineStr">
        <is>
          <t>VÄSTRA GÖTALANDS LÄN</t>
        </is>
      </c>
      <c r="E46" t="inlineStr">
        <is>
          <t>BOLLEBYGD</t>
        </is>
      </c>
      <c r="G46" t="n">
        <v>0.3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50011-2023</t>
        </is>
      </c>
      <c r="B47" s="1" t="n">
        <v>45215</v>
      </c>
      <c r="C47" s="1" t="n">
        <v>45883</v>
      </c>
      <c r="D47" t="inlineStr">
        <is>
          <t>VÄSTRA GÖTALANDS LÄN</t>
        </is>
      </c>
      <c r="E47" t="inlineStr">
        <is>
          <t>BOLLEBYGD</t>
        </is>
      </c>
      <c r="G47" t="n">
        <v>7.5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68882-2021</t>
        </is>
      </c>
      <c r="B48" s="1" t="n">
        <v>44530.44055555556</v>
      </c>
      <c r="C48" s="1" t="n">
        <v>45883</v>
      </c>
      <c r="D48" t="inlineStr">
        <is>
          <t>VÄSTRA GÖTALANDS LÄN</t>
        </is>
      </c>
      <c r="E48" t="inlineStr">
        <is>
          <t>BOLLEBYGD</t>
        </is>
      </c>
      <c r="G48" t="n">
        <v>0.5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46511-2023</t>
        </is>
      </c>
      <c r="B49" s="1" t="n">
        <v>45197</v>
      </c>
      <c r="C49" s="1" t="n">
        <v>45883</v>
      </c>
      <c r="D49" t="inlineStr">
        <is>
          <t>VÄSTRA GÖTALANDS LÄN</t>
        </is>
      </c>
      <c r="E49" t="inlineStr">
        <is>
          <t>BOLLEBYGD</t>
        </is>
      </c>
      <c r="G49" t="n">
        <v>3.8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51314-2023</t>
        </is>
      </c>
      <c r="B50" s="1" t="n">
        <v>45219</v>
      </c>
      <c r="C50" s="1" t="n">
        <v>45883</v>
      </c>
      <c r="D50" t="inlineStr">
        <is>
          <t>VÄSTRA GÖTALANDS LÄN</t>
        </is>
      </c>
      <c r="E50" t="inlineStr">
        <is>
          <t>BOLLEBYGD</t>
        </is>
      </c>
      <c r="G50" t="n">
        <v>1.1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7011-2025</t>
        </is>
      </c>
      <c r="B51" s="1" t="n">
        <v>45701.60746527778</v>
      </c>
      <c r="C51" s="1" t="n">
        <v>45883</v>
      </c>
      <c r="D51" t="inlineStr">
        <is>
          <t>VÄSTRA GÖTALANDS LÄN</t>
        </is>
      </c>
      <c r="E51" t="inlineStr">
        <is>
          <t>BOLLEBYGD</t>
        </is>
      </c>
      <c r="G51" t="n">
        <v>6.5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12160-2024</t>
        </is>
      </c>
      <c r="B52" s="1" t="n">
        <v>45377.80496527778</v>
      </c>
      <c r="C52" s="1" t="n">
        <v>45883</v>
      </c>
      <c r="D52" t="inlineStr">
        <is>
          <t>VÄSTRA GÖTALANDS LÄN</t>
        </is>
      </c>
      <c r="E52" t="inlineStr">
        <is>
          <t>BOLLEBYGD</t>
        </is>
      </c>
      <c r="G52" t="n">
        <v>0.5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50647-2021</t>
        </is>
      </c>
      <c r="B53" s="1" t="n">
        <v>44459</v>
      </c>
      <c r="C53" s="1" t="n">
        <v>45883</v>
      </c>
      <c r="D53" t="inlineStr">
        <is>
          <t>VÄSTRA GÖTALANDS LÄN</t>
        </is>
      </c>
      <c r="E53" t="inlineStr">
        <is>
          <t>BOLLEBYGD</t>
        </is>
      </c>
      <c r="G53" t="n">
        <v>0.7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32014-2021</t>
        </is>
      </c>
      <c r="B54" s="1" t="n">
        <v>44370.63486111111</v>
      </c>
      <c r="C54" s="1" t="n">
        <v>45883</v>
      </c>
      <c r="D54" t="inlineStr">
        <is>
          <t>VÄSTRA GÖTALANDS LÄN</t>
        </is>
      </c>
      <c r="E54" t="inlineStr">
        <is>
          <t>BOLLEBYGD</t>
        </is>
      </c>
      <c r="G54" t="n">
        <v>3.4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5193-2021</t>
        </is>
      </c>
      <c r="B55" s="1" t="n">
        <v>44228</v>
      </c>
      <c r="C55" s="1" t="n">
        <v>45883</v>
      </c>
      <c r="D55" t="inlineStr">
        <is>
          <t>VÄSTRA GÖTALANDS LÄN</t>
        </is>
      </c>
      <c r="E55" t="inlineStr">
        <is>
          <t>BOLLEBYGD</t>
        </is>
      </c>
      <c r="G55" t="n">
        <v>1.1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28158-2024</t>
        </is>
      </c>
      <c r="B56" s="1" t="n">
        <v>45476.93028935185</v>
      </c>
      <c r="C56" s="1" t="n">
        <v>45883</v>
      </c>
      <c r="D56" t="inlineStr">
        <is>
          <t>VÄSTRA GÖTALANDS LÄN</t>
        </is>
      </c>
      <c r="E56" t="inlineStr">
        <is>
          <t>BOLLEBYGD</t>
        </is>
      </c>
      <c r="G56" t="n">
        <v>6.1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17990-2022</t>
        </is>
      </c>
      <c r="B57" s="1" t="n">
        <v>44683</v>
      </c>
      <c r="C57" s="1" t="n">
        <v>45883</v>
      </c>
      <c r="D57" t="inlineStr">
        <is>
          <t>VÄSTRA GÖTALANDS LÄN</t>
        </is>
      </c>
      <c r="E57" t="inlineStr">
        <is>
          <t>BOLLEBYGD</t>
        </is>
      </c>
      <c r="G57" t="n">
        <v>0.4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47980-2023</t>
        </is>
      </c>
      <c r="B58" s="1" t="n">
        <v>45204</v>
      </c>
      <c r="C58" s="1" t="n">
        <v>45883</v>
      </c>
      <c r="D58" t="inlineStr">
        <is>
          <t>VÄSTRA GÖTALANDS LÄN</t>
        </is>
      </c>
      <c r="E58" t="inlineStr">
        <is>
          <t>BOLLEBYGD</t>
        </is>
      </c>
      <c r="G58" t="n">
        <v>4.4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8570-2025</t>
        </is>
      </c>
      <c r="B59" s="1" t="n">
        <v>45709.64003472222</v>
      </c>
      <c r="C59" s="1" t="n">
        <v>45883</v>
      </c>
      <c r="D59" t="inlineStr">
        <is>
          <t>VÄSTRA GÖTALANDS LÄN</t>
        </is>
      </c>
      <c r="E59" t="inlineStr">
        <is>
          <t>BOLLEBYGD</t>
        </is>
      </c>
      <c r="G59" t="n">
        <v>1.9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50057-2023</t>
        </is>
      </c>
      <c r="B60" s="1" t="n">
        <v>45215</v>
      </c>
      <c r="C60" s="1" t="n">
        <v>45883</v>
      </c>
      <c r="D60" t="inlineStr">
        <is>
          <t>VÄSTRA GÖTALANDS LÄN</t>
        </is>
      </c>
      <c r="E60" t="inlineStr">
        <is>
          <t>BOLLEBYGD</t>
        </is>
      </c>
      <c r="G60" t="n">
        <v>2.7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5191-2021</t>
        </is>
      </c>
      <c r="B61" s="1" t="n">
        <v>44228</v>
      </c>
      <c r="C61" s="1" t="n">
        <v>45883</v>
      </c>
      <c r="D61" t="inlineStr">
        <is>
          <t>VÄSTRA GÖTALANDS LÄN</t>
        </is>
      </c>
      <c r="E61" t="inlineStr">
        <is>
          <t>BOLLEBYGD</t>
        </is>
      </c>
      <c r="G61" t="n">
        <v>0.9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29658-2022</t>
        </is>
      </c>
      <c r="B62" s="1" t="n">
        <v>44754.67859953704</v>
      </c>
      <c r="C62" s="1" t="n">
        <v>45883</v>
      </c>
      <c r="D62" t="inlineStr">
        <is>
          <t>VÄSTRA GÖTALANDS LÄN</t>
        </is>
      </c>
      <c r="E62" t="inlineStr">
        <is>
          <t>BOLLEBYGD</t>
        </is>
      </c>
      <c r="G62" t="n">
        <v>2.3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54892-2020</t>
        </is>
      </c>
      <c r="B63" s="1" t="n">
        <v>44128.49828703704</v>
      </c>
      <c r="C63" s="1" t="n">
        <v>45883</v>
      </c>
      <c r="D63" t="inlineStr">
        <is>
          <t>VÄSTRA GÖTALANDS LÄN</t>
        </is>
      </c>
      <c r="E63" t="inlineStr">
        <is>
          <t>BOLLEBYGD</t>
        </is>
      </c>
      <c r="G63" t="n">
        <v>0.6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3360-2022</t>
        </is>
      </c>
      <c r="B64" s="1" t="n">
        <v>44585</v>
      </c>
      <c r="C64" s="1" t="n">
        <v>45883</v>
      </c>
      <c r="D64" t="inlineStr">
        <is>
          <t>VÄSTRA GÖTALANDS LÄN</t>
        </is>
      </c>
      <c r="E64" t="inlineStr">
        <is>
          <t>BOLLEBYGD</t>
        </is>
      </c>
      <c r="G64" t="n">
        <v>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18337-2023</t>
        </is>
      </c>
      <c r="B65" s="1" t="n">
        <v>45041</v>
      </c>
      <c r="C65" s="1" t="n">
        <v>45883</v>
      </c>
      <c r="D65" t="inlineStr">
        <is>
          <t>VÄSTRA GÖTALANDS LÄN</t>
        </is>
      </c>
      <c r="E65" t="inlineStr">
        <is>
          <t>BOLLEBYGD</t>
        </is>
      </c>
      <c r="G65" t="n">
        <v>1.7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27498-2021</t>
        </is>
      </c>
      <c r="B66" s="1" t="n">
        <v>44351</v>
      </c>
      <c r="C66" s="1" t="n">
        <v>45883</v>
      </c>
      <c r="D66" t="inlineStr">
        <is>
          <t>VÄSTRA GÖTALANDS LÄN</t>
        </is>
      </c>
      <c r="E66" t="inlineStr">
        <is>
          <t>BOLLEBYGD</t>
        </is>
      </c>
      <c r="G66" t="n">
        <v>1.4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51229-2022</t>
        </is>
      </c>
      <c r="B67" s="1" t="n">
        <v>44868</v>
      </c>
      <c r="C67" s="1" t="n">
        <v>45883</v>
      </c>
      <c r="D67" t="inlineStr">
        <is>
          <t>VÄSTRA GÖTALANDS LÄN</t>
        </is>
      </c>
      <c r="E67" t="inlineStr">
        <is>
          <t>BOLLEBYGD</t>
        </is>
      </c>
      <c r="G67" t="n">
        <v>5.8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22541-2023</t>
        </is>
      </c>
      <c r="B68" s="1" t="n">
        <v>45071</v>
      </c>
      <c r="C68" s="1" t="n">
        <v>45883</v>
      </c>
      <c r="D68" t="inlineStr">
        <is>
          <t>VÄSTRA GÖTALANDS LÄN</t>
        </is>
      </c>
      <c r="E68" t="inlineStr">
        <is>
          <t>BOLLEBYGD</t>
        </is>
      </c>
      <c r="G68" t="n">
        <v>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40202-2021</t>
        </is>
      </c>
      <c r="B69" s="1" t="n">
        <v>44418</v>
      </c>
      <c r="C69" s="1" t="n">
        <v>45883</v>
      </c>
      <c r="D69" t="inlineStr">
        <is>
          <t>VÄSTRA GÖTALANDS LÄN</t>
        </is>
      </c>
      <c r="E69" t="inlineStr">
        <is>
          <t>BOLLEBYGD</t>
        </is>
      </c>
      <c r="G69" t="n">
        <v>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61334-2022</t>
        </is>
      </c>
      <c r="B70" s="1" t="n">
        <v>44915</v>
      </c>
      <c r="C70" s="1" t="n">
        <v>45883</v>
      </c>
      <c r="D70" t="inlineStr">
        <is>
          <t>VÄSTRA GÖTALANDS LÄN</t>
        </is>
      </c>
      <c r="E70" t="inlineStr">
        <is>
          <t>BOLLEBYGD</t>
        </is>
      </c>
      <c r="G70" t="n">
        <v>1.2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67455-2021</t>
        </is>
      </c>
      <c r="B71" s="1" t="n">
        <v>44524.38003472222</v>
      </c>
      <c r="C71" s="1" t="n">
        <v>45883</v>
      </c>
      <c r="D71" t="inlineStr">
        <is>
          <t>VÄSTRA GÖTALANDS LÄN</t>
        </is>
      </c>
      <c r="E71" t="inlineStr">
        <is>
          <t>BOLLEBYGD</t>
        </is>
      </c>
      <c r="G71" t="n">
        <v>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31617-2021</t>
        </is>
      </c>
      <c r="B72" s="1" t="n">
        <v>44369.58694444445</v>
      </c>
      <c r="C72" s="1" t="n">
        <v>45883</v>
      </c>
      <c r="D72" t="inlineStr">
        <is>
          <t>VÄSTRA GÖTALANDS LÄN</t>
        </is>
      </c>
      <c r="E72" t="inlineStr">
        <is>
          <t>BOLLEBYGD</t>
        </is>
      </c>
      <c r="G72" t="n">
        <v>3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52102-2023</t>
        </is>
      </c>
      <c r="B73" s="1" t="n">
        <v>45223</v>
      </c>
      <c r="C73" s="1" t="n">
        <v>45883</v>
      </c>
      <c r="D73" t="inlineStr">
        <is>
          <t>VÄSTRA GÖTALANDS LÄN</t>
        </is>
      </c>
      <c r="E73" t="inlineStr">
        <is>
          <t>BOLLEBYGD</t>
        </is>
      </c>
      <c r="G73" t="n">
        <v>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30628-2023</t>
        </is>
      </c>
      <c r="B74" s="1" t="n">
        <v>45112.44275462963</v>
      </c>
      <c r="C74" s="1" t="n">
        <v>45883</v>
      </c>
      <c r="D74" t="inlineStr">
        <is>
          <t>VÄSTRA GÖTALANDS LÄN</t>
        </is>
      </c>
      <c r="E74" t="inlineStr">
        <is>
          <t>BOLLEBYGD</t>
        </is>
      </c>
      <c r="G74" t="n">
        <v>4.3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30643-2023</t>
        </is>
      </c>
      <c r="B75" s="1" t="n">
        <v>45112.47034722222</v>
      </c>
      <c r="C75" s="1" t="n">
        <v>45883</v>
      </c>
      <c r="D75" t="inlineStr">
        <is>
          <t>VÄSTRA GÖTALANDS LÄN</t>
        </is>
      </c>
      <c r="E75" t="inlineStr">
        <is>
          <t>BOLLEBYGD</t>
        </is>
      </c>
      <c r="G75" t="n">
        <v>1.6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30793-2023</t>
        </is>
      </c>
      <c r="B76" s="1" t="n">
        <v>45112.74090277778</v>
      </c>
      <c r="C76" s="1" t="n">
        <v>45883</v>
      </c>
      <c r="D76" t="inlineStr">
        <is>
          <t>VÄSTRA GÖTALANDS LÄN</t>
        </is>
      </c>
      <c r="E76" t="inlineStr">
        <is>
          <t>BOLLEBYGD</t>
        </is>
      </c>
      <c r="G76" t="n">
        <v>1.4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30795-2023</t>
        </is>
      </c>
      <c r="B77" s="1" t="n">
        <v>45112.75636574074</v>
      </c>
      <c r="C77" s="1" t="n">
        <v>45883</v>
      </c>
      <c r="D77" t="inlineStr">
        <is>
          <t>VÄSTRA GÖTALANDS LÄN</t>
        </is>
      </c>
      <c r="E77" t="inlineStr">
        <is>
          <t>BOLLEBYGD</t>
        </is>
      </c>
      <c r="G77" t="n">
        <v>1.3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60792-2022</t>
        </is>
      </c>
      <c r="B78" s="1" t="n">
        <v>44914.42209490741</v>
      </c>
      <c r="C78" s="1" t="n">
        <v>45883</v>
      </c>
      <c r="D78" t="inlineStr">
        <is>
          <t>VÄSTRA GÖTALANDS LÄN</t>
        </is>
      </c>
      <c r="E78" t="inlineStr">
        <is>
          <t>BOLLEBYGD</t>
        </is>
      </c>
      <c r="G78" t="n">
        <v>1.3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65143-2023</t>
        </is>
      </c>
      <c r="B79" s="1" t="n">
        <v>45288</v>
      </c>
      <c r="C79" s="1" t="n">
        <v>45883</v>
      </c>
      <c r="D79" t="inlineStr">
        <is>
          <t>VÄSTRA GÖTALANDS LÄN</t>
        </is>
      </c>
      <c r="E79" t="inlineStr">
        <is>
          <t>BOLLEBYGD</t>
        </is>
      </c>
      <c r="G79" t="n">
        <v>1.8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9401-2024</t>
        </is>
      </c>
      <c r="B80" s="1" t="n">
        <v>45359.42094907408</v>
      </c>
      <c r="C80" s="1" t="n">
        <v>45883</v>
      </c>
      <c r="D80" t="inlineStr">
        <is>
          <t>VÄSTRA GÖTALANDS LÄN</t>
        </is>
      </c>
      <c r="E80" t="inlineStr">
        <is>
          <t>BOLLEBYGD</t>
        </is>
      </c>
      <c r="G80" t="n">
        <v>0.9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9930-2024</t>
        </is>
      </c>
      <c r="B81" s="1" t="n">
        <v>45363.57760416667</v>
      </c>
      <c r="C81" s="1" t="n">
        <v>45883</v>
      </c>
      <c r="D81" t="inlineStr">
        <is>
          <t>VÄSTRA GÖTALANDS LÄN</t>
        </is>
      </c>
      <c r="E81" t="inlineStr">
        <is>
          <t>BOLLEBYGD</t>
        </is>
      </c>
      <c r="G81" t="n">
        <v>4.3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30724-2023</t>
        </is>
      </c>
      <c r="B82" s="1" t="n">
        <v>45112</v>
      </c>
      <c r="C82" s="1" t="n">
        <v>45883</v>
      </c>
      <c r="D82" t="inlineStr">
        <is>
          <t>VÄSTRA GÖTALANDS LÄN</t>
        </is>
      </c>
      <c r="E82" t="inlineStr">
        <is>
          <t>BOLLEBYGD</t>
        </is>
      </c>
      <c r="G82" t="n">
        <v>1.7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30763-2023</t>
        </is>
      </c>
      <c r="B83" s="1" t="n">
        <v>45112</v>
      </c>
      <c r="C83" s="1" t="n">
        <v>45883</v>
      </c>
      <c r="D83" t="inlineStr">
        <is>
          <t>VÄSTRA GÖTALANDS LÄN</t>
        </is>
      </c>
      <c r="E83" t="inlineStr">
        <is>
          <t>BOLLEBYGD</t>
        </is>
      </c>
      <c r="G83" t="n">
        <v>4.9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18615-2025</t>
        </is>
      </c>
      <c r="B84" s="1" t="n">
        <v>45763.50521990741</v>
      </c>
      <c r="C84" s="1" t="n">
        <v>45883</v>
      </c>
      <c r="D84" t="inlineStr">
        <is>
          <t>VÄSTRA GÖTALANDS LÄN</t>
        </is>
      </c>
      <c r="E84" t="inlineStr">
        <is>
          <t>BOLLEBYGD</t>
        </is>
      </c>
      <c r="G84" t="n">
        <v>5.7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54287-2022</t>
        </is>
      </c>
      <c r="B85" s="1" t="n">
        <v>44882.37096064815</v>
      </c>
      <c r="C85" s="1" t="n">
        <v>45883</v>
      </c>
      <c r="D85" t="inlineStr">
        <is>
          <t>VÄSTRA GÖTALANDS LÄN</t>
        </is>
      </c>
      <c r="E85" t="inlineStr">
        <is>
          <t>BOLLEBYGD</t>
        </is>
      </c>
      <c r="G85" t="n">
        <v>1.3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31717-2023</t>
        </is>
      </c>
      <c r="B86" s="1" t="n">
        <v>45117</v>
      </c>
      <c r="C86" s="1" t="n">
        <v>45883</v>
      </c>
      <c r="D86" t="inlineStr">
        <is>
          <t>VÄSTRA GÖTALANDS LÄN</t>
        </is>
      </c>
      <c r="E86" t="inlineStr">
        <is>
          <t>BOLLEBYGD</t>
        </is>
      </c>
      <c r="G86" t="n">
        <v>2.4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31719-2023</t>
        </is>
      </c>
      <c r="B87" s="1" t="n">
        <v>45117.8900462963</v>
      </c>
      <c r="C87" s="1" t="n">
        <v>45883</v>
      </c>
      <c r="D87" t="inlineStr">
        <is>
          <t>VÄSTRA GÖTALANDS LÄN</t>
        </is>
      </c>
      <c r="E87" t="inlineStr">
        <is>
          <t>BOLLEBYGD</t>
        </is>
      </c>
      <c r="G87" t="n">
        <v>1.2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30800-2023</t>
        </is>
      </c>
      <c r="B88" s="1" t="n">
        <v>45112.77375</v>
      </c>
      <c r="C88" s="1" t="n">
        <v>45883</v>
      </c>
      <c r="D88" t="inlineStr">
        <is>
          <t>VÄSTRA GÖTALANDS LÄN</t>
        </is>
      </c>
      <c r="E88" t="inlineStr">
        <is>
          <t>BOLLEBYGD</t>
        </is>
      </c>
      <c r="G88" t="n">
        <v>0.9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54311-2022</t>
        </is>
      </c>
      <c r="B89" s="1" t="n">
        <v>44882.41185185185</v>
      </c>
      <c r="C89" s="1" t="n">
        <v>45883</v>
      </c>
      <c r="D89" t="inlineStr">
        <is>
          <t>VÄSTRA GÖTALANDS LÄN</t>
        </is>
      </c>
      <c r="E89" t="inlineStr">
        <is>
          <t>BOLLEBYGD</t>
        </is>
      </c>
      <c r="G89" t="n">
        <v>1.4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24368-2022</t>
        </is>
      </c>
      <c r="B90" s="1" t="n">
        <v>44726.43189814815</v>
      </c>
      <c r="C90" s="1" t="n">
        <v>45883</v>
      </c>
      <c r="D90" t="inlineStr">
        <is>
          <t>VÄSTRA GÖTALANDS LÄN</t>
        </is>
      </c>
      <c r="E90" t="inlineStr">
        <is>
          <t>BOLLEBYGD</t>
        </is>
      </c>
      <c r="G90" t="n">
        <v>2.4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58010-2022</t>
        </is>
      </c>
      <c r="B91" s="1" t="n">
        <v>44900</v>
      </c>
      <c r="C91" s="1" t="n">
        <v>45883</v>
      </c>
      <c r="D91" t="inlineStr">
        <is>
          <t>VÄSTRA GÖTALANDS LÄN</t>
        </is>
      </c>
      <c r="E91" t="inlineStr">
        <is>
          <t>BOLLEBYGD</t>
        </is>
      </c>
      <c r="G91" t="n">
        <v>3.1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58011-2022</t>
        </is>
      </c>
      <c r="B92" s="1" t="n">
        <v>44900</v>
      </c>
      <c r="C92" s="1" t="n">
        <v>45883</v>
      </c>
      <c r="D92" t="inlineStr">
        <is>
          <t>VÄSTRA GÖTALANDS LÄN</t>
        </is>
      </c>
      <c r="E92" t="inlineStr">
        <is>
          <t>BOLLEBYGD</t>
        </is>
      </c>
      <c r="G92" t="n">
        <v>1.4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30650-2023</t>
        </is>
      </c>
      <c r="B93" s="1" t="n">
        <v>45112.47785879629</v>
      </c>
      <c r="C93" s="1" t="n">
        <v>45883</v>
      </c>
      <c r="D93" t="inlineStr">
        <is>
          <t>VÄSTRA GÖTALANDS LÄN</t>
        </is>
      </c>
      <c r="E93" t="inlineStr">
        <is>
          <t>BOLLEBYGD</t>
        </is>
      </c>
      <c r="G93" t="n">
        <v>2.1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56334-2024</t>
        </is>
      </c>
      <c r="B94" s="1" t="n">
        <v>45624.80081018519</v>
      </c>
      <c r="C94" s="1" t="n">
        <v>45883</v>
      </c>
      <c r="D94" t="inlineStr">
        <is>
          <t>VÄSTRA GÖTALANDS LÄN</t>
        </is>
      </c>
      <c r="E94" t="inlineStr">
        <is>
          <t>BOLLEBYGD</t>
        </is>
      </c>
      <c r="G94" t="n">
        <v>0.3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61026-2022</t>
        </is>
      </c>
      <c r="B95" s="1" t="n">
        <v>44914.8635300926</v>
      </c>
      <c r="C95" s="1" t="n">
        <v>45883</v>
      </c>
      <c r="D95" t="inlineStr">
        <is>
          <t>VÄSTRA GÖTALANDS LÄN</t>
        </is>
      </c>
      <c r="E95" t="inlineStr">
        <is>
          <t>BOLLEBYGD</t>
        </is>
      </c>
      <c r="G95" t="n">
        <v>0.5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63725-2023</t>
        </is>
      </c>
      <c r="B96" s="1" t="n">
        <v>45276</v>
      </c>
      <c r="C96" s="1" t="n">
        <v>45883</v>
      </c>
      <c r="D96" t="inlineStr">
        <is>
          <t>VÄSTRA GÖTALANDS LÄN</t>
        </is>
      </c>
      <c r="E96" t="inlineStr">
        <is>
          <t>BOLLEBYGD</t>
        </is>
      </c>
      <c r="G96" t="n">
        <v>1.1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30769-2023</t>
        </is>
      </c>
      <c r="B97" s="1" t="n">
        <v>45112</v>
      </c>
      <c r="C97" s="1" t="n">
        <v>45883</v>
      </c>
      <c r="D97" t="inlineStr">
        <is>
          <t>VÄSTRA GÖTALANDS LÄN</t>
        </is>
      </c>
      <c r="E97" t="inlineStr">
        <is>
          <t>BOLLEBYGD</t>
        </is>
      </c>
      <c r="G97" t="n">
        <v>2.1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54659-2022</t>
        </is>
      </c>
      <c r="B98" s="1" t="n">
        <v>44883</v>
      </c>
      <c r="C98" s="1" t="n">
        <v>45883</v>
      </c>
      <c r="D98" t="inlineStr">
        <is>
          <t>VÄSTRA GÖTALANDS LÄN</t>
        </is>
      </c>
      <c r="E98" t="inlineStr">
        <is>
          <t>BOLLEBYGD</t>
        </is>
      </c>
      <c r="G98" t="n">
        <v>1.8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30794-2023</t>
        </is>
      </c>
      <c r="B99" s="1" t="n">
        <v>45112.75039351852</v>
      </c>
      <c r="C99" s="1" t="n">
        <v>45883</v>
      </c>
      <c r="D99" t="inlineStr">
        <is>
          <t>VÄSTRA GÖTALANDS LÄN</t>
        </is>
      </c>
      <c r="E99" t="inlineStr">
        <is>
          <t>BOLLEBYGD</t>
        </is>
      </c>
      <c r="G99" t="n">
        <v>0.7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31714-2023</t>
        </is>
      </c>
      <c r="B100" s="1" t="n">
        <v>45117.83711805556</v>
      </c>
      <c r="C100" s="1" t="n">
        <v>45883</v>
      </c>
      <c r="D100" t="inlineStr">
        <is>
          <t>VÄSTRA GÖTALANDS LÄN</t>
        </is>
      </c>
      <c r="E100" t="inlineStr">
        <is>
          <t>BOLLEBYGD</t>
        </is>
      </c>
      <c r="G100" t="n">
        <v>2.4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31718-2023</t>
        </is>
      </c>
      <c r="B101" s="1" t="n">
        <v>45117.88568287037</v>
      </c>
      <c r="C101" s="1" t="n">
        <v>45883</v>
      </c>
      <c r="D101" t="inlineStr">
        <is>
          <t>VÄSTRA GÖTALANDS LÄN</t>
        </is>
      </c>
      <c r="E101" t="inlineStr">
        <is>
          <t>BOLLEBYGD</t>
        </is>
      </c>
      <c r="G101" t="n">
        <v>3.6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35526-2023</t>
        </is>
      </c>
      <c r="B102" s="1" t="n">
        <v>45147</v>
      </c>
      <c r="C102" s="1" t="n">
        <v>45883</v>
      </c>
      <c r="D102" t="inlineStr">
        <is>
          <t>VÄSTRA GÖTALANDS LÄN</t>
        </is>
      </c>
      <c r="E102" t="inlineStr">
        <is>
          <t>BOLLEBYGD</t>
        </is>
      </c>
      <c r="G102" t="n">
        <v>2.2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28040-2024</t>
        </is>
      </c>
      <c r="B103" s="1" t="n">
        <v>45476.50533564815</v>
      </c>
      <c r="C103" s="1" t="n">
        <v>45883</v>
      </c>
      <c r="D103" t="inlineStr">
        <is>
          <t>VÄSTRA GÖTALANDS LÄN</t>
        </is>
      </c>
      <c r="E103" t="inlineStr">
        <is>
          <t>BOLLEBYGD</t>
        </is>
      </c>
      <c r="G103" t="n">
        <v>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22834-2024</t>
        </is>
      </c>
      <c r="B104" s="1" t="n">
        <v>45448.57018518518</v>
      </c>
      <c r="C104" s="1" t="n">
        <v>45883</v>
      </c>
      <c r="D104" t="inlineStr">
        <is>
          <t>VÄSTRA GÖTALANDS LÄN</t>
        </is>
      </c>
      <c r="E104" t="inlineStr">
        <is>
          <t>BOLLEBYGD</t>
        </is>
      </c>
      <c r="G104" t="n">
        <v>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4782-2024</t>
        </is>
      </c>
      <c r="B105" s="1" t="n">
        <v>45328</v>
      </c>
      <c r="C105" s="1" t="n">
        <v>45883</v>
      </c>
      <c r="D105" t="inlineStr">
        <is>
          <t>VÄSTRA GÖTALANDS LÄN</t>
        </is>
      </c>
      <c r="E105" t="inlineStr">
        <is>
          <t>BOLLEBYGD</t>
        </is>
      </c>
      <c r="G105" t="n">
        <v>0.6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4783-2024</t>
        </is>
      </c>
      <c r="B106" s="1" t="n">
        <v>45328</v>
      </c>
      <c r="C106" s="1" t="n">
        <v>45883</v>
      </c>
      <c r="D106" t="inlineStr">
        <is>
          <t>VÄSTRA GÖTALANDS LÄN</t>
        </is>
      </c>
      <c r="E106" t="inlineStr">
        <is>
          <t>BOLLEBYGD</t>
        </is>
      </c>
      <c r="G106" t="n">
        <v>1.1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9527-2023</t>
        </is>
      </c>
      <c r="B107" s="1" t="n">
        <v>44981</v>
      </c>
      <c r="C107" s="1" t="n">
        <v>45883</v>
      </c>
      <c r="D107" t="inlineStr">
        <is>
          <t>VÄSTRA GÖTALANDS LÄN</t>
        </is>
      </c>
      <c r="E107" t="inlineStr">
        <is>
          <t>BOLLEBYGD</t>
        </is>
      </c>
      <c r="G107" t="n">
        <v>0.9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54289-2022</t>
        </is>
      </c>
      <c r="B108" s="1" t="n">
        <v>44882</v>
      </c>
      <c r="C108" s="1" t="n">
        <v>45883</v>
      </c>
      <c r="D108" t="inlineStr">
        <is>
          <t>VÄSTRA GÖTALANDS LÄN</t>
        </is>
      </c>
      <c r="E108" t="inlineStr">
        <is>
          <t>BOLLEBYGD</t>
        </is>
      </c>
      <c r="G108" t="n">
        <v>1.1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19595-2024</t>
        </is>
      </c>
      <c r="B109" s="1" t="n">
        <v>45430.49487268519</v>
      </c>
      <c r="C109" s="1" t="n">
        <v>45883</v>
      </c>
      <c r="D109" t="inlineStr">
        <is>
          <t>VÄSTRA GÖTALANDS LÄN</t>
        </is>
      </c>
      <c r="E109" t="inlineStr">
        <is>
          <t>BOLLEBYGD</t>
        </is>
      </c>
      <c r="G109" t="n">
        <v>1.8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30760-2023</t>
        </is>
      </c>
      <c r="B110" s="1" t="n">
        <v>45112</v>
      </c>
      <c r="C110" s="1" t="n">
        <v>45883</v>
      </c>
      <c r="D110" t="inlineStr">
        <is>
          <t>VÄSTRA GÖTALANDS LÄN</t>
        </is>
      </c>
      <c r="E110" t="inlineStr">
        <is>
          <t>BOLLEBYGD</t>
        </is>
      </c>
      <c r="G110" t="n">
        <v>1.4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30762-2023</t>
        </is>
      </c>
      <c r="B111" s="1" t="n">
        <v>45112</v>
      </c>
      <c r="C111" s="1" t="n">
        <v>45883</v>
      </c>
      <c r="D111" t="inlineStr">
        <is>
          <t>VÄSTRA GÖTALANDS LÄN</t>
        </is>
      </c>
      <c r="E111" t="inlineStr">
        <is>
          <t>BOLLEBYGD</t>
        </is>
      </c>
      <c r="G111" t="n">
        <v>1.9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3237-2023</t>
        </is>
      </c>
      <c r="B112" s="1" t="n">
        <v>44946.84690972222</v>
      </c>
      <c r="C112" s="1" t="n">
        <v>45883</v>
      </c>
      <c r="D112" t="inlineStr">
        <is>
          <t>VÄSTRA GÖTALANDS LÄN</t>
        </is>
      </c>
      <c r="E112" t="inlineStr">
        <is>
          <t>BOLLEBYGD</t>
        </is>
      </c>
      <c r="G112" t="n">
        <v>0.7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32208-2023</t>
        </is>
      </c>
      <c r="B113" s="1" t="n">
        <v>45119</v>
      </c>
      <c r="C113" s="1" t="n">
        <v>45883</v>
      </c>
      <c r="D113" t="inlineStr">
        <is>
          <t>VÄSTRA GÖTALANDS LÄN</t>
        </is>
      </c>
      <c r="E113" t="inlineStr">
        <is>
          <t>BOLLEBYGD</t>
        </is>
      </c>
      <c r="G113" t="n">
        <v>4.8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6064-2025</t>
        </is>
      </c>
      <c r="B114" s="1" t="n">
        <v>45696.28527777778</v>
      </c>
      <c r="C114" s="1" t="n">
        <v>45883</v>
      </c>
      <c r="D114" t="inlineStr">
        <is>
          <t>VÄSTRA GÖTALANDS LÄN</t>
        </is>
      </c>
      <c r="E114" t="inlineStr">
        <is>
          <t>BOLLEBYGD</t>
        </is>
      </c>
      <c r="G114" t="n">
        <v>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11605-2024</t>
        </is>
      </c>
      <c r="B115" s="1" t="n">
        <v>45373.39921296296</v>
      </c>
      <c r="C115" s="1" t="n">
        <v>45883</v>
      </c>
      <c r="D115" t="inlineStr">
        <is>
          <t>VÄSTRA GÖTALANDS LÄN</t>
        </is>
      </c>
      <c r="E115" t="inlineStr">
        <is>
          <t>BOLLEBYGD</t>
        </is>
      </c>
      <c r="G115" t="n">
        <v>1.1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70708-2021</t>
        </is>
      </c>
      <c r="B116" s="1" t="n">
        <v>44537</v>
      </c>
      <c r="C116" s="1" t="n">
        <v>45883</v>
      </c>
      <c r="D116" t="inlineStr">
        <is>
          <t>VÄSTRA GÖTALANDS LÄN</t>
        </is>
      </c>
      <c r="E116" t="inlineStr">
        <is>
          <t>BOLLEBYGD</t>
        </is>
      </c>
      <c r="G116" t="n">
        <v>4.6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38586-2023</t>
        </is>
      </c>
      <c r="B117" s="1" t="n">
        <v>45162.63375</v>
      </c>
      <c r="C117" s="1" t="n">
        <v>45883</v>
      </c>
      <c r="D117" t="inlineStr">
        <is>
          <t>VÄSTRA GÖTALANDS LÄN</t>
        </is>
      </c>
      <c r="E117" t="inlineStr">
        <is>
          <t>BOLLEBYGD</t>
        </is>
      </c>
      <c r="G117" t="n">
        <v>0.6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1922-2024</t>
        </is>
      </c>
      <c r="B118" s="1" t="n">
        <v>45308.43416666667</v>
      </c>
      <c r="C118" s="1" t="n">
        <v>45883</v>
      </c>
      <c r="D118" t="inlineStr">
        <is>
          <t>VÄSTRA GÖTALANDS LÄN</t>
        </is>
      </c>
      <c r="E118" t="inlineStr">
        <is>
          <t>BOLLEBYGD</t>
        </is>
      </c>
      <c r="G118" t="n">
        <v>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1395-2024</t>
        </is>
      </c>
      <c r="B119" s="1" t="n">
        <v>45303</v>
      </c>
      <c r="C119" s="1" t="n">
        <v>45883</v>
      </c>
      <c r="D119" t="inlineStr">
        <is>
          <t>VÄSTRA GÖTALANDS LÄN</t>
        </is>
      </c>
      <c r="E119" t="inlineStr">
        <is>
          <t>BOLLEBYGD</t>
        </is>
      </c>
      <c r="G119" t="n">
        <v>5.3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3080-2024</t>
        </is>
      </c>
      <c r="B120" s="1" t="n">
        <v>45316</v>
      </c>
      <c r="C120" s="1" t="n">
        <v>45883</v>
      </c>
      <c r="D120" t="inlineStr">
        <is>
          <t>VÄSTRA GÖTALANDS LÄN</t>
        </is>
      </c>
      <c r="E120" t="inlineStr">
        <is>
          <t>BOLLEBYGD</t>
        </is>
      </c>
      <c r="G120" t="n">
        <v>1.3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30772-2023</t>
        </is>
      </c>
      <c r="B121" s="1" t="n">
        <v>45112</v>
      </c>
      <c r="C121" s="1" t="n">
        <v>45883</v>
      </c>
      <c r="D121" t="inlineStr">
        <is>
          <t>VÄSTRA GÖTALANDS LÄN</t>
        </is>
      </c>
      <c r="E121" t="inlineStr">
        <is>
          <t>BOLLEBYGD</t>
        </is>
      </c>
      <c r="G121" t="n">
        <v>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11795-2023</t>
        </is>
      </c>
      <c r="B122" s="1" t="n">
        <v>44994</v>
      </c>
      <c r="C122" s="1" t="n">
        <v>45883</v>
      </c>
      <c r="D122" t="inlineStr">
        <is>
          <t>VÄSTRA GÖTALANDS LÄN</t>
        </is>
      </c>
      <c r="E122" t="inlineStr">
        <is>
          <t>BOLLEBYGD</t>
        </is>
      </c>
      <c r="G122" t="n">
        <v>0.6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35491-2023</t>
        </is>
      </c>
      <c r="B123" s="1" t="n">
        <v>45146</v>
      </c>
      <c r="C123" s="1" t="n">
        <v>45883</v>
      </c>
      <c r="D123" t="inlineStr">
        <is>
          <t>VÄSTRA GÖTALANDS LÄN</t>
        </is>
      </c>
      <c r="E123" t="inlineStr">
        <is>
          <t>BOLLEBYGD</t>
        </is>
      </c>
      <c r="G123" t="n">
        <v>3.5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  <c r="U123">
        <f>HYPERLINK("https://klasma.github.io/Logging_1443/knärot/A 35491-2023 karta knärot.png", "A 35491-2023")</f>
        <v/>
      </c>
      <c r="V123">
        <f>HYPERLINK("https://klasma.github.io/Logging_1443/klagomål/A 35491-2023 FSC-klagomål.docx", "A 35491-2023")</f>
        <v/>
      </c>
      <c r="W123">
        <f>HYPERLINK("https://klasma.github.io/Logging_1443/klagomålsmail/A 35491-2023 FSC-klagomål mail.docx", "A 35491-2023")</f>
        <v/>
      </c>
      <c r="X123">
        <f>HYPERLINK("https://klasma.github.io/Logging_1443/tillsyn/A 35491-2023 tillsynsbegäran.docx", "A 35491-2023")</f>
        <v/>
      </c>
      <c r="Y123">
        <f>HYPERLINK("https://klasma.github.io/Logging_1443/tillsynsmail/A 35491-2023 tillsynsbegäran mail.docx", "A 35491-2023")</f>
        <v/>
      </c>
    </row>
    <row r="124" ht="15" customHeight="1">
      <c r="A124" t="inlineStr">
        <is>
          <t>A 30633-2023</t>
        </is>
      </c>
      <c r="B124" s="1" t="n">
        <v>45112</v>
      </c>
      <c r="C124" s="1" t="n">
        <v>45883</v>
      </c>
      <c r="D124" t="inlineStr">
        <is>
          <t>VÄSTRA GÖTALANDS LÄN</t>
        </is>
      </c>
      <c r="E124" t="inlineStr">
        <is>
          <t>BOLLEBYGD</t>
        </is>
      </c>
      <c r="G124" t="n">
        <v>0.7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23330-2024</t>
        </is>
      </c>
      <c r="B125" s="1" t="n">
        <v>45453.46866898148</v>
      </c>
      <c r="C125" s="1" t="n">
        <v>45883</v>
      </c>
      <c r="D125" t="inlineStr">
        <is>
          <t>VÄSTRA GÖTALANDS LÄN</t>
        </is>
      </c>
      <c r="E125" t="inlineStr">
        <is>
          <t>BOLLEBYGD</t>
        </is>
      </c>
      <c r="F125" t="inlineStr">
        <is>
          <t>Sveaskog</t>
        </is>
      </c>
      <c r="G125" t="n">
        <v>0.6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18305-2025</t>
        </is>
      </c>
      <c r="B126" s="1" t="n">
        <v>45762.43462962963</v>
      </c>
      <c r="C126" s="1" t="n">
        <v>45883</v>
      </c>
      <c r="D126" t="inlineStr">
        <is>
          <t>VÄSTRA GÖTALANDS LÄN</t>
        </is>
      </c>
      <c r="E126" t="inlineStr">
        <is>
          <t>BOLLEBYGD</t>
        </is>
      </c>
      <c r="G126" t="n">
        <v>0.5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47522-2024</t>
        </is>
      </c>
      <c r="B127" s="1" t="n">
        <v>45587.63065972222</v>
      </c>
      <c r="C127" s="1" t="n">
        <v>45883</v>
      </c>
      <c r="D127" t="inlineStr">
        <is>
          <t>VÄSTRA GÖTALANDS LÄN</t>
        </is>
      </c>
      <c r="E127" t="inlineStr">
        <is>
          <t>BOLLEBYGD</t>
        </is>
      </c>
      <c r="F127" t="inlineStr">
        <is>
          <t>Sveaskog</t>
        </is>
      </c>
      <c r="G127" t="n">
        <v>1.5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57036-2024</t>
        </is>
      </c>
      <c r="B128" s="1" t="n">
        <v>45629.2527662037</v>
      </c>
      <c r="C128" s="1" t="n">
        <v>45883</v>
      </c>
      <c r="D128" t="inlineStr">
        <is>
          <t>VÄSTRA GÖTALANDS LÄN</t>
        </is>
      </c>
      <c r="E128" t="inlineStr">
        <is>
          <t>BOLLEBYGD</t>
        </is>
      </c>
      <c r="G128" t="n">
        <v>5.2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36532-2024</t>
        </is>
      </c>
      <c r="B129" s="1" t="n">
        <v>45537.44701388889</v>
      </c>
      <c r="C129" s="1" t="n">
        <v>45883</v>
      </c>
      <c r="D129" t="inlineStr">
        <is>
          <t>VÄSTRA GÖTALANDS LÄN</t>
        </is>
      </c>
      <c r="E129" t="inlineStr">
        <is>
          <t>BOLLEBYGD</t>
        </is>
      </c>
      <c r="G129" t="n">
        <v>1.8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5072-2023</t>
        </is>
      </c>
      <c r="B130" s="1" t="n">
        <v>44958.60896990741</v>
      </c>
      <c r="C130" s="1" t="n">
        <v>45883</v>
      </c>
      <c r="D130" t="inlineStr">
        <is>
          <t>VÄSTRA GÖTALANDS LÄN</t>
        </is>
      </c>
      <c r="E130" t="inlineStr">
        <is>
          <t>BOLLEBYGD</t>
        </is>
      </c>
      <c r="G130" t="n">
        <v>1.4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9159-2024</t>
        </is>
      </c>
      <c r="B131" s="1" t="n">
        <v>45358.39443287037</v>
      </c>
      <c r="C131" s="1" t="n">
        <v>45883</v>
      </c>
      <c r="D131" t="inlineStr">
        <is>
          <t>VÄSTRA GÖTALANDS LÄN</t>
        </is>
      </c>
      <c r="E131" t="inlineStr">
        <is>
          <t>BOLLEBYGD</t>
        </is>
      </c>
      <c r="G131" t="n">
        <v>0.5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11021-2022</t>
        </is>
      </c>
      <c r="B132" s="1" t="n">
        <v>44628.55136574074</v>
      </c>
      <c r="C132" s="1" t="n">
        <v>45883</v>
      </c>
      <c r="D132" t="inlineStr">
        <is>
          <t>VÄSTRA GÖTALANDS LÄN</t>
        </is>
      </c>
      <c r="E132" t="inlineStr">
        <is>
          <t>BOLLEBYGD</t>
        </is>
      </c>
      <c r="G132" t="n">
        <v>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50302-2023</t>
        </is>
      </c>
      <c r="B133" s="1" t="n">
        <v>45216</v>
      </c>
      <c r="C133" s="1" t="n">
        <v>45883</v>
      </c>
      <c r="D133" t="inlineStr">
        <is>
          <t>VÄSTRA GÖTALANDS LÄN</t>
        </is>
      </c>
      <c r="E133" t="inlineStr">
        <is>
          <t>BOLLEBYGD</t>
        </is>
      </c>
      <c r="G133" t="n">
        <v>1.3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65118-2023</t>
        </is>
      </c>
      <c r="B134" s="1" t="n">
        <v>45288</v>
      </c>
      <c r="C134" s="1" t="n">
        <v>45883</v>
      </c>
      <c r="D134" t="inlineStr">
        <is>
          <t>VÄSTRA GÖTALANDS LÄN</t>
        </is>
      </c>
      <c r="E134" t="inlineStr">
        <is>
          <t>BOLLEBYGD</t>
        </is>
      </c>
      <c r="G134" t="n">
        <v>1.2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56335-2024</t>
        </is>
      </c>
      <c r="B135" s="1" t="n">
        <v>45624.80724537037</v>
      </c>
      <c r="C135" s="1" t="n">
        <v>45883</v>
      </c>
      <c r="D135" t="inlineStr">
        <is>
          <t>VÄSTRA GÖTALANDS LÄN</t>
        </is>
      </c>
      <c r="E135" t="inlineStr">
        <is>
          <t>BOLLEBYGD</t>
        </is>
      </c>
      <c r="G135" t="n">
        <v>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53055-2024</t>
        </is>
      </c>
      <c r="B136" s="1" t="n">
        <v>45611.46429398148</v>
      </c>
      <c r="C136" s="1" t="n">
        <v>45883</v>
      </c>
      <c r="D136" t="inlineStr">
        <is>
          <t>VÄSTRA GÖTALANDS LÄN</t>
        </is>
      </c>
      <c r="E136" t="inlineStr">
        <is>
          <t>BOLLEBYGD</t>
        </is>
      </c>
      <c r="G136" t="n">
        <v>1.9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52100-2023</t>
        </is>
      </c>
      <c r="B137" s="1" t="n">
        <v>45223</v>
      </c>
      <c r="C137" s="1" t="n">
        <v>45883</v>
      </c>
      <c r="D137" t="inlineStr">
        <is>
          <t>VÄSTRA GÖTALANDS LÄN</t>
        </is>
      </c>
      <c r="E137" t="inlineStr">
        <is>
          <t>BOLLEBYGD</t>
        </is>
      </c>
      <c r="G137" t="n">
        <v>0.7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435-2025</t>
        </is>
      </c>
      <c r="B138" s="1" t="n">
        <v>45664.37454861111</v>
      </c>
      <c r="C138" s="1" t="n">
        <v>45883</v>
      </c>
      <c r="D138" t="inlineStr">
        <is>
          <t>VÄSTRA GÖTALANDS LÄN</t>
        </is>
      </c>
      <c r="E138" t="inlineStr">
        <is>
          <t>BOLLEBYGD</t>
        </is>
      </c>
      <c r="G138" t="n">
        <v>3.5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43398-2024</t>
        </is>
      </c>
      <c r="B139" s="1" t="n">
        <v>45568.61006944445</v>
      </c>
      <c r="C139" s="1" t="n">
        <v>45883</v>
      </c>
      <c r="D139" t="inlineStr">
        <is>
          <t>VÄSTRA GÖTALANDS LÄN</t>
        </is>
      </c>
      <c r="E139" t="inlineStr">
        <is>
          <t>BOLLEBYGD</t>
        </is>
      </c>
      <c r="G139" t="n">
        <v>1.7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59517-2023</t>
        </is>
      </c>
      <c r="B140" s="1" t="n">
        <v>45254</v>
      </c>
      <c r="C140" s="1" t="n">
        <v>45883</v>
      </c>
      <c r="D140" t="inlineStr">
        <is>
          <t>VÄSTRA GÖTALANDS LÄN</t>
        </is>
      </c>
      <c r="E140" t="inlineStr">
        <is>
          <t>BOLLEBYGD</t>
        </is>
      </c>
      <c r="G140" t="n">
        <v>1.2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2398-2024</t>
        </is>
      </c>
      <c r="B141" s="1" t="n">
        <v>45310</v>
      </c>
      <c r="C141" s="1" t="n">
        <v>45883</v>
      </c>
      <c r="D141" t="inlineStr">
        <is>
          <t>VÄSTRA GÖTALANDS LÄN</t>
        </is>
      </c>
      <c r="E141" t="inlineStr">
        <is>
          <t>BOLLEBYGD</t>
        </is>
      </c>
      <c r="G141" t="n">
        <v>1.5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59816-2021</t>
        </is>
      </c>
      <c r="B142" s="1" t="n">
        <v>44494</v>
      </c>
      <c r="C142" s="1" t="n">
        <v>45883</v>
      </c>
      <c r="D142" t="inlineStr">
        <is>
          <t>VÄSTRA GÖTALANDS LÄN</t>
        </is>
      </c>
      <c r="E142" t="inlineStr">
        <is>
          <t>BOLLEBYGD</t>
        </is>
      </c>
      <c r="G142" t="n">
        <v>3.5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30662-2023</t>
        </is>
      </c>
      <c r="B143" s="1" t="n">
        <v>45112</v>
      </c>
      <c r="C143" s="1" t="n">
        <v>45883</v>
      </c>
      <c r="D143" t="inlineStr">
        <is>
          <t>VÄSTRA GÖTALANDS LÄN</t>
        </is>
      </c>
      <c r="E143" t="inlineStr">
        <is>
          <t>BOLLEBYGD</t>
        </is>
      </c>
      <c r="G143" t="n">
        <v>2.7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38074-2023</t>
        </is>
      </c>
      <c r="B144" s="1" t="n">
        <v>45160.78711805555</v>
      </c>
      <c r="C144" s="1" t="n">
        <v>45883</v>
      </c>
      <c r="D144" t="inlineStr">
        <is>
          <t>VÄSTRA GÖTALANDS LÄN</t>
        </is>
      </c>
      <c r="E144" t="inlineStr">
        <is>
          <t>BOLLEBYGD</t>
        </is>
      </c>
      <c r="G144" t="n">
        <v>0.5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15996-2023</t>
        </is>
      </c>
      <c r="B145" s="1" t="n">
        <v>45023.83804398148</v>
      </c>
      <c r="C145" s="1" t="n">
        <v>45883</v>
      </c>
      <c r="D145" t="inlineStr">
        <is>
          <t>VÄSTRA GÖTALANDS LÄN</t>
        </is>
      </c>
      <c r="E145" t="inlineStr">
        <is>
          <t>BOLLEBYGD</t>
        </is>
      </c>
      <c r="G145" t="n">
        <v>1.6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31889-2023</t>
        </is>
      </c>
      <c r="B146" s="1" t="n">
        <v>45118</v>
      </c>
      <c r="C146" s="1" t="n">
        <v>45883</v>
      </c>
      <c r="D146" t="inlineStr">
        <is>
          <t>VÄSTRA GÖTALANDS LÄN</t>
        </is>
      </c>
      <c r="E146" t="inlineStr">
        <is>
          <t>BOLLEBYGD</t>
        </is>
      </c>
      <c r="G146" t="n">
        <v>0.7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50981-2023</t>
        </is>
      </c>
      <c r="B147" s="1" t="n">
        <v>45218.52822916667</v>
      </c>
      <c r="C147" s="1" t="n">
        <v>45883</v>
      </c>
      <c r="D147" t="inlineStr">
        <is>
          <t>VÄSTRA GÖTALANDS LÄN</t>
        </is>
      </c>
      <c r="E147" t="inlineStr">
        <is>
          <t>BOLLEBYGD</t>
        </is>
      </c>
      <c r="F147" t="inlineStr">
        <is>
          <t>Sveaskog</t>
        </is>
      </c>
      <c r="G147" t="n">
        <v>1.9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56452-2022</t>
        </is>
      </c>
      <c r="B148" s="1" t="n">
        <v>44893.2884375</v>
      </c>
      <c r="C148" s="1" t="n">
        <v>45883</v>
      </c>
      <c r="D148" t="inlineStr">
        <is>
          <t>VÄSTRA GÖTALANDS LÄN</t>
        </is>
      </c>
      <c r="E148" t="inlineStr">
        <is>
          <t>BOLLEBYGD</t>
        </is>
      </c>
      <c r="G148" t="n">
        <v>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58093-2023</t>
        </is>
      </c>
      <c r="B149" s="1" t="n">
        <v>45248</v>
      </c>
      <c r="C149" s="1" t="n">
        <v>45883</v>
      </c>
      <c r="D149" t="inlineStr">
        <is>
          <t>VÄSTRA GÖTALANDS LÄN</t>
        </is>
      </c>
      <c r="E149" t="inlineStr">
        <is>
          <t>BOLLEBYGD</t>
        </is>
      </c>
      <c r="G149" t="n">
        <v>3.8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64207-2021</t>
        </is>
      </c>
      <c r="B150" s="1" t="n">
        <v>44510.61469907407</v>
      </c>
      <c r="C150" s="1" t="n">
        <v>45883</v>
      </c>
      <c r="D150" t="inlineStr">
        <is>
          <t>VÄSTRA GÖTALANDS LÄN</t>
        </is>
      </c>
      <c r="E150" t="inlineStr">
        <is>
          <t>BOLLEBYGD</t>
        </is>
      </c>
      <c r="G150" t="n">
        <v>0.9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6745-2023</t>
        </is>
      </c>
      <c r="B151" s="1" t="n">
        <v>44966</v>
      </c>
      <c r="C151" s="1" t="n">
        <v>45883</v>
      </c>
      <c r="D151" t="inlineStr">
        <is>
          <t>VÄSTRA GÖTALANDS LÄN</t>
        </is>
      </c>
      <c r="E151" t="inlineStr">
        <is>
          <t>BOLLEBYGD</t>
        </is>
      </c>
      <c r="G151" t="n">
        <v>0.5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15112-2022</t>
        </is>
      </c>
      <c r="B152" s="1" t="n">
        <v>44658</v>
      </c>
      <c r="C152" s="1" t="n">
        <v>45883</v>
      </c>
      <c r="D152" t="inlineStr">
        <is>
          <t>VÄSTRA GÖTALANDS LÄN</t>
        </is>
      </c>
      <c r="E152" t="inlineStr">
        <is>
          <t>BOLLEBYGD</t>
        </is>
      </c>
      <c r="G152" t="n">
        <v>1.5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3238-2023</t>
        </is>
      </c>
      <c r="B153" s="1" t="n">
        <v>44946.84815972222</v>
      </c>
      <c r="C153" s="1" t="n">
        <v>45883</v>
      </c>
      <c r="D153" t="inlineStr">
        <is>
          <t>VÄSTRA GÖTALANDS LÄN</t>
        </is>
      </c>
      <c r="E153" t="inlineStr">
        <is>
          <t>BOLLEBYGD</t>
        </is>
      </c>
      <c r="G153" t="n">
        <v>0.5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59472-2023</t>
        </is>
      </c>
      <c r="B154" s="1" t="n">
        <v>45254</v>
      </c>
      <c r="C154" s="1" t="n">
        <v>45883</v>
      </c>
      <c r="D154" t="inlineStr">
        <is>
          <t>VÄSTRA GÖTALANDS LÄN</t>
        </is>
      </c>
      <c r="E154" t="inlineStr">
        <is>
          <t>BOLLEBYGD</t>
        </is>
      </c>
      <c r="G154" t="n">
        <v>0.4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11981-2025</t>
        </is>
      </c>
      <c r="B155" s="1" t="n">
        <v>45728</v>
      </c>
      <c r="C155" s="1" t="n">
        <v>45883</v>
      </c>
      <c r="D155" t="inlineStr">
        <is>
          <t>VÄSTRA GÖTALANDS LÄN</t>
        </is>
      </c>
      <c r="E155" t="inlineStr">
        <is>
          <t>BOLLEBYGD</t>
        </is>
      </c>
      <c r="G155" t="n">
        <v>1.8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27103-2024</t>
        </is>
      </c>
      <c r="B156" s="1" t="n">
        <v>45471.4950462963</v>
      </c>
      <c r="C156" s="1" t="n">
        <v>45883</v>
      </c>
      <c r="D156" t="inlineStr">
        <is>
          <t>VÄSTRA GÖTALANDS LÄN</t>
        </is>
      </c>
      <c r="E156" t="inlineStr">
        <is>
          <t>BOLLEBYGD</t>
        </is>
      </c>
      <c r="G156" t="n">
        <v>0.6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57443-2024</t>
        </is>
      </c>
      <c r="B157" s="1" t="n">
        <v>45629.8953587963</v>
      </c>
      <c r="C157" s="1" t="n">
        <v>45883</v>
      </c>
      <c r="D157" t="inlineStr">
        <is>
          <t>VÄSTRA GÖTALANDS LÄN</t>
        </is>
      </c>
      <c r="E157" t="inlineStr">
        <is>
          <t>BOLLEBYGD</t>
        </is>
      </c>
      <c r="G157" t="n">
        <v>1.1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1921-2024</t>
        </is>
      </c>
      <c r="B158" s="1" t="n">
        <v>45308.43202546296</v>
      </c>
      <c r="C158" s="1" t="n">
        <v>45883</v>
      </c>
      <c r="D158" t="inlineStr">
        <is>
          <t>VÄSTRA GÖTALANDS LÄN</t>
        </is>
      </c>
      <c r="E158" t="inlineStr">
        <is>
          <t>BOLLEBYGD</t>
        </is>
      </c>
      <c r="G158" t="n">
        <v>0.6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42250-2023</t>
        </is>
      </c>
      <c r="B159" s="1" t="n">
        <v>45180.36814814815</v>
      </c>
      <c r="C159" s="1" t="n">
        <v>45883</v>
      </c>
      <c r="D159" t="inlineStr">
        <is>
          <t>VÄSTRA GÖTALANDS LÄN</t>
        </is>
      </c>
      <c r="E159" t="inlineStr">
        <is>
          <t>BOLLEBYGD</t>
        </is>
      </c>
      <c r="G159" t="n">
        <v>0.5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9530-2023</t>
        </is>
      </c>
      <c r="B160" s="1" t="n">
        <v>44981</v>
      </c>
      <c r="C160" s="1" t="n">
        <v>45883</v>
      </c>
      <c r="D160" t="inlineStr">
        <is>
          <t>VÄSTRA GÖTALANDS LÄN</t>
        </is>
      </c>
      <c r="E160" t="inlineStr">
        <is>
          <t>BOLLEBYGD</t>
        </is>
      </c>
      <c r="G160" t="n">
        <v>1.2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22443-2023</t>
        </is>
      </c>
      <c r="B161" s="1" t="n">
        <v>45070</v>
      </c>
      <c r="C161" s="1" t="n">
        <v>45883</v>
      </c>
      <c r="D161" t="inlineStr">
        <is>
          <t>VÄSTRA GÖTALANDS LÄN</t>
        </is>
      </c>
      <c r="E161" t="inlineStr">
        <is>
          <t>BOLLEBYGD</t>
        </is>
      </c>
      <c r="G161" t="n">
        <v>4.3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54295-2023</t>
        </is>
      </c>
      <c r="B162" s="1" t="n">
        <v>45232</v>
      </c>
      <c r="C162" s="1" t="n">
        <v>45883</v>
      </c>
      <c r="D162" t="inlineStr">
        <is>
          <t>VÄSTRA GÖTALANDS LÄN</t>
        </is>
      </c>
      <c r="E162" t="inlineStr">
        <is>
          <t>BOLLEBYGD</t>
        </is>
      </c>
      <c r="G162" t="n">
        <v>2.6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7339-2025</t>
        </is>
      </c>
      <c r="B163" s="1" t="n">
        <v>45703.51598379629</v>
      </c>
      <c r="C163" s="1" t="n">
        <v>45883</v>
      </c>
      <c r="D163" t="inlineStr">
        <is>
          <t>VÄSTRA GÖTALANDS LÄN</t>
        </is>
      </c>
      <c r="E163" t="inlineStr">
        <is>
          <t>BOLLEBYGD</t>
        </is>
      </c>
      <c r="G163" t="n">
        <v>3.3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11239-2023</t>
        </is>
      </c>
      <c r="B164" s="1" t="n">
        <v>44992</v>
      </c>
      <c r="C164" s="1" t="n">
        <v>45883</v>
      </c>
      <c r="D164" t="inlineStr">
        <is>
          <t>VÄSTRA GÖTALANDS LÄN</t>
        </is>
      </c>
      <c r="E164" t="inlineStr">
        <is>
          <t>BOLLEBYGD</t>
        </is>
      </c>
      <c r="G164" t="n">
        <v>0.9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30754-2023</t>
        </is>
      </c>
      <c r="B165" s="1" t="n">
        <v>45112</v>
      </c>
      <c r="C165" s="1" t="n">
        <v>45883</v>
      </c>
      <c r="D165" t="inlineStr">
        <is>
          <t>VÄSTRA GÖTALANDS LÄN</t>
        </is>
      </c>
      <c r="E165" t="inlineStr">
        <is>
          <t>BOLLEBYGD</t>
        </is>
      </c>
      <c r="G165" t="n">
        <v>1.7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45046-2020</t>
        </is>
      </c>
      <c r="B166" s="1" t="n">
        <v>44088</v>
      </c>
      <c r="C166" s="1" t="n">
        <v>45883</v>
      </c>
      <c r="D166" t="inlineStr">
        <is>
          <t>VÄSTRA GÖTALANDS LÄN</t>
        </is>
      </c>
      <c r="E166" t="inlineStr">
        <is>
          <t>BOLLEBYGD</t>
        </is>
      </c>
      <c r="F166" t="inlineStr">
        <is>
          <t>Kommuner</t>
        </is>
      </c>
      <c r="G166" t="n">
        <v>0.5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21573-2025</t>
        </is>
      </c>
      <c r="B167" s="1" t="n">
        <v>45782.82457175926</v>
      </c>
      <c r="C167" s="1" t="n">
        <v>45883</v>
      </c>
      <c r="D167" t="inlineStr">
        <is>
          <t>VÄSTRA GÖTALANDS LÄN</t>
        </is>
      </c>
      <c r="E167" t="inlineStr">
        <is>
          <t>BOLLEBYGD</t>
        </is>
      </c>
      <c r="G167" t="n">
        <v>1.3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21575-2025</t>
        </is>
      </c>
      <c r="B168" s="1" t="n">
        <v>45782.8308912037</v>
      </c>
      <c r="C168" s="1" t="n">
        <v>45883</v>
      </c>
      <c r="D168" t="inlineStr">
        <is>
          <t>VÄSTRA GÖTALANDS LÄN</t>
        </is>
      </c>
      <c r="E168" t="inlineStr">
        <is>
          <t>BOLLEBYGD</t>
        </is>
      </c>
      <c r="G168" t="n">
        <v>1.7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18613-2025</t>
        </is>
      </c>
      <c r="B169" s="1" t="n">
        <v>45763.49810185185</v>
      </c>
      <c r="C169" s="1" t="n">
        <v>45883</v>
      </c>
      <c r="D169" t="inlineStr">
        <is>
          <t>VÄSTRA GÖTALANDS LÄN</t>
        </is>
      </c>
      <c r="E169" t="inlineStr">
        <is>
          <t>BOLLEBYGD</t>
        </is>
      </c>
      <c r="G169" t="n">
        <v>4.5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18614-2025</t>
        </is>
      </c>
      <c r="B170" s="1" t="n">
        <v>45763.50244212963</v>
      </c>
      <c r="C170" s="1" t="n">
        <v>45883</v>
      </c>
      <c r="D170" t="inlineStr">
        <is>
          <t>VÄSTRA GÖTALANDS LÄN</t>
        </is>
      </c>
      <c r="E170" t="inlineStr">
        <is>
          <t>BOLLEBYGD</t>
        </is>
      </c>
      <c r="G170" t="n">
        <v>9.699999999999999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36131-2024</t>
        </is>
      </c>
      <c r="B171" s="1" t="n">
        <v>45534.33863425926</v>
      </c>
      <c r="C171" s="1" t="n">
        <v>45883</v>
      </c>
      <c r="D171" t="inlineStr">
        <is>
          <t>VÄSTRA GÖTALANDS LÄN</t>
        </is>
      </c>
      <c r="E171" t="inlineStr">
        <is>
          <t>BOLLEBYGD</t>
        </is>
      </c>
      <c r="G171" t="n">
        <v>2.7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21878-2025</t>
        </is>
      </c>
      <c r="B172" s="1" t="n">
        <v>45784.40392361111</v>
      </c>
      <c r="C172" s="1" t="n">
        <v>45883</v>
      </c>
      <c r="D172" t="inlineStr">
        <is>
          <t>VÄSTRA GÖTALANDS LÄN</t>
        </is>
      </c>
      <c r="E172" t="inlineStr">
        <is>
          <t>BOLLEBYGD</t>
        </is>
      </c>
      <c r="G172" t="n">
        <v>0.5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23906-2024</t>
        </is>
      </c>
      <c r="B173" s="1" t="n">
        <v>45455.80586805556</v>
      </c>
      <c r="C173" s="1" t="n">
        <v>45883</v>
      </c>
      <c r="D173" t="inlineStr">
        <is>
          <t>VÄSTRA GÖTALANDS LÄN</t>
        </is>
      </c>
      <c r="E173" t="inlineStr">
        <is>
          <t>BOLLEBYGD</t>
        </is>
      </c>
      <c r="G173" t="n">
        <v>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10610-2025</t>
        </is>
      </c>
      <c r="B174" s="1" t="n">
        <v>45721.59978009259</v>
      </c>
      <c r="C174" s="1" t="n">
        <v>45883</v>
      </c>
      <c r="D174" t="inlineStr">
        <is>
          <t>VÄSTRA GÖTALANDS LÄN</t>
        </is>
      </c>
      <c r="E174" t="inlineStr">
        <is>
          <t>BOLLEBYGD</t>
        </is>
      </c>
      <c r="G174" t="n">
        <v>3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21574-2025</t>
        </is>
      </c>
      <c r="B175" s="1" t="n">
        <v>45782.82858796296</v>
      </c>
      <c r="C175" s="1" t="n">
        <v>45883</v>
      </c>
      <c r="D175" t="inlineStr">
        <is>
          <t>VÄSTRA GÖTALANDS LÄN</t>
        </is>
      </c>
      <c r="E175" t="inlineStr">
        <is>
          <t>BOLLEBYGD</t>
        </is>
      </c>
      <c r="G175" t="n">
        <v>2.7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31712-2023</t>
        </is>
      </c>
      <c r="B176" s="1" t="n">
        <v>45117.8322337963</v>
      </c>
      <c r="C176" s="1" t="n">
        <v>45883</v>
      </c>
      <c r="D176" t="inlineStr">
        <is>
          <t>VÄSTRA GÖTALANDS LÄN</t>
        </is>
      </c>
      <c r="E176" t="inlineStr">
        <is>
          <t>BOLLEBYGD</t>
        </is>
      </c>
      <c r="G176" t="n">
        <v>1.2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31715-2023</t>
        </is>
      </c>
      <c r="B177" s="1" t="n">
        <v>45117.84797453704</v>
      </c>
      <c r="C177" s="1" t="n">
        <v>45883</v>
      </c>
      <c r="D177" t="inlineStr">
        <is>
          <t>VÄSTRA GÖTALANDS LÄN</t>
        </is>
      </c>
      <c r="E177" t="inlineStr">
        <is>
          <t>BOLLEBYGD</t>
        </is>
      </c>
      <c r="G177" t="n">
        <v>12.4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31745-2023</t>
        </is>
      </c>
      <c r="B178" s="1" t="n">
        <v>45117</v>
      </c>
      <c r="C178" s="1" t="n">
        <v>45883</v>
      </c>
      <c r="D178" t="inlineStr">
        <is>
          <t>VÄSTRA GÖTALANDS LÄN</t>
        </is>
      </c>
      <c r="E178" t="inlineStr">
        <is>
          <t>BOLLEBYGD</t>
        </is>
      </c>
      <c r="G178" t="n">
        <v>2.1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30745-2023</t>
        </is>
      </c>
      <c r="B179" s="1" t="n">
        <v>45112</v>
      </c>
      <c r="C179" s="1" t="n">
        <v>45883</v>
      </c>
      <c r="D179" t="inlineStr">
        <is>
          <t>VÄSTRA GÖTALANDS LÄN</t>
        </is>
      </c>
      <c r="E179" t="inlineStr">
        <is>
          <t>BOLLEBYGD</t>
        </is>
      </c>
      <c r="G179" t="n">
        <v>3.9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30801-2023</t>
        </is>
      </c>
      <c r="B180" s="1" t="n">
        <v>45112.78192129629</v>
      </c>
      <c r="C180" s="1" t="n">
        <v>45883</v>
      </c>
      <c r="D180" t="inlineStr">
        <is>
          <t>VÄSTRA GÖTALANDS LÄN</t>
        </is>
      </c>
      <c r="E180" t="inlineStr">
        <is>
          <t>BOLLEBYGD</t>
        </is>
      </c>
      <c r="G180" t="n">
        <v>2.6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56331-2024</t>
        </is>
      </c>
      <c r="B181" s="1" t="n">
        <v>45624.79915509259</v>
      </c>
      <c r="C181" s="1" t="n">
        <v>45883</v>
      </c>
      <c r="D181" t="inlineStr">
        <is>
          <t>VÄSTRA GÖTALANDS LÄN</t>
        </is>
      </c>
      <c r="E181" t="inlineStr">
        <is>
          <t>BOLLEBYGD</t>
        </is>
      </c>
      <c r="G181" t="n">
        <v>0.5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23907-2024</t>
        </is>
      </c>
      <c r="B182" s="1" t="n">
        <v>45455.80972222222</v>
      </c>
      <c r="C182" s="1" t="n">
        <v>45883</v>
      </c>
      <c r="D182" t="inlineStr">
        <is>
          <t>VÄSTRA GÖTALANDS LÄN</t>
        </is>
      </c>
      <c r="E182" t="inlineStr">
        <is>
          <t>BOLLEBYGD</t>
        </is>
      </c>
      <c r="G182" t="n">
        <v>2.6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47264-2024</t>
        </is>
      </c>
      <c r="B183" s="1" t="n">
        <v>45586.8034837963</v>
      </c>
      <c r="C183" s="1" t="n">
        <v>45883</v>
      </c>
      <c r="D183" t="inlineStr">
        <is>
          <t>VÄSTRA GÖTALANDS LÄN</t>
        </is>
      </c>
      <c r="E183" t="inlineStr">
        <is>
          <t>BOLLEBYGD</t>
        </is>
      </c>
      <c r="G183" t="n">
        <v>1.3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47265-2024</t>
        </is>
      </c>
      <c r="B184" s="1" t="n">
        <v>45586.80979166667</v>
      </c>
      <c r="C184" s="1" t="n">
        <v>45883</v>
      </c>
      <c r="D184" t="inlineStr">
        <is>
          <t>VÄSTRA GÖTALANDS LÄN</t>
        </is>
      </c>
      <c r="E184" t="inlineStr">
        <is>
          <t>BOLLEBYGD</t>
        </is>
      </c>
      <c r="G184" t="n">
        <v>0.6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22424-2025</t>
        </is>
      </c>
      <c r="B185" s="1" t="n">
        <v>45786.56738425926</v>
      </c>
      <c r="C185" s="1" t="n">
        <v>45883</v>
      </c>
      <c r="D185" t="inlineStr">
        <is>
          <t>VÄSTRA GÖTALANDS LÄN</t>
        </is>
      </c>
      <c r="E185" t="inlineStr">
        <is>
          <t>BOLLEBYGD</t>
        </is>
      </c>
      <c r="G185" t="n">
        <v>1.9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12124-2024</t>
        </is>
      </c>
      <c r="B186" s="1" t="n">
        <v>45377</v>
      </c>
      <c r="C186" s="1" t="n">
        <v>45883</v>
      </c>
      <c r="D186" t="inlineStr">
        <is>
          <t>VÄSTRA GÖTALANDS LÄN</t>
        </is>
      </c>
      <c r="E186" t="inlineStr">
        <is>
          <t>BOLLEBYGD</t>
        </is>
      </c>
      <c r="F186" t="inlineStr">
        <is>
          <t>Kommuner</t>
        </is>
      </c>
      <c r="G186" t="n">
        <v>2.9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43938-2024</t>
        </is>
      </c>
      <c r="B187" s="1" t="n">
        <v>45572.46334490741</v>
      </c>
      <c r="C187" s="1" t="n">
        <v>45883</v>
      </c>
      <c r="D187" t="inlineStr">
        <is>
          <t>VÄSTRA GÖTALANDS LÄN</t>
        </is>
      </c>
      <c r="E187" t="inlineStr">
        <is>
          <t>BOLLEBYGD</t>
        </is>
      </c>
      <c r="G187" t="n">
        <v>0.9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30637-2023</t>
        </is>
      </c>
      <c r="B188" s="1" t="n">
        <v>45112.46177083333</v>
      </c>
      <c r="C188" s="1" t="n">
        <v>45883</v>
      </c>
      <c r="D188" t="inlineStr">
        <is>
          <t>VÄSTRA GÖTALANDS LÄN</t>
        </is>
      </c>
      <c r="E188" t="inlineStr">
        <is>
          <t>BOLLEBYGD</t>
        </is>
      </c>
      <c r="G188" t="n">
        <v>0.8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23164-2025</t>
        </is>
      </c>
      <c r="B189" s="1" t="n">
        <v>45791.42326388889</v>
      </c>
      <c r="C189" s="1" t="n">
        <v>45883</v>
      </c>
      <c r="D189" t="inlineStr">
        <is>
          <t>VÄSTRA GÖTALANDS LÄN</t>
        </is>
      </c>
      <c r="E189" t="inlineStr">
        <is>
          <t>BOLLEBYGD</t>
        </is>
      </c>
      <c r="G189" t="n">
        <v>6.1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60771-2024</t>
        </is>
      </c>
      <c r="B190" s="1" t="n">
        <v>45644</v>
      </c>
      <c r="C190" s="1" t="n">
        <v>45883</v>
      </c>
      <c r="D190" t="inlineStr">
        <is>
          <t>VÄSTRA GÖTALANDS LÄN</t>
        </is>
      </c>
      <c r="E190" t="inlineStr">
        <is>
          <t>BOLLEBYGD</t>
        </is>
      </c>
      <c r="G190" t="n">
        <v>4.9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51564-2024</t>
        </is>
      </c>
      <c r="B191" s="1" t="n">
        <v>45604.62042824074</v>
      </c>
      <c r="C191" s="1" t="n">
        <v>45883</v>
      </c>
      <c r="D191" t="inlineStr">
        <is>
          <t>VÄSTRA GÖTALANDS LÄN</t>
        </is>
      </c>
      <c r="E191" t="inlineStr">
        <is>
          <t>BOLLEBYGD</t>
        </is>
      </c>
      <c r="G191" t="n">
        <v>4.1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23311-2025</t>
        </is>
      </c>
      <c r="B192" s="1" t="n">
        <v>45791.60857638889</v>
      </c>
      <c r="C192" s="1" t="n">
        <v>45883</v>
      </c>
      <c r="D192" t="inlineStr">
        <is>
          <t>VÄSTRA GÖTALANDS LÄN</t>
        </is>
      </c>
      <c r="E192" t="inlineStr">
        <is>
          <t>BOLLEBYGD</t>
        </is>
      </c>
      <c r="G192" t="n">
        <v>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48354-2024</t>
        </is>
      </c>
      <c r="B193" s="1" t="n">
        <v>45590.56171296296</v>
      </c>
      <c r="C193" s="1" t="n">
        <v>45883</v>
      </c>
      <c r="D193" t="inlineStr">
        <is>
          <t>VÄSTRA GÖTALANDS LÄN</t>
        </is>
      </c>
      <c r="E193" t="inlineStr">
        <is>
          <t>BOLLEBYGD</t>
        </is>
      </c>
      <c r="G193" t="n">
        <v>3.9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42483-2023</t>
        </is>
      </c>
      <c r="B194" s="1" t="n">
        <v>45180.82547453704</v>
      </c>
      <c r="C194" s="1" t="n">
        <v>45883</v>
      </c>
      <c r="D194" t="inlineStr">
        <is>
          <t>VÄSTRA GÖTALANDS LÄN</t>
        </is>
      </c>
      <c r="E194" t="inlineStr">
        <is>
          <t>BOLLEBYGD</t>
        </is>
      </c>
      <c r="G194" t="n">
        <v>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60747-2024</t>
        </is>
      </c>
      <c r="B195" s="1" t="n">
        <v>45644</v>
      </c>
      <c r="C195" s="1" t="n">
        <v>45883</v>
      </c>
      <c r="D195" t="inlineStr">
        <is>
          <t>VÄSTRA GÖTALANDS LÄN</t>
        </is>
      </c>
      <c r="E195" t="inlineStr">
        <is>
          <t>BOLLEBYGD</t>
        </is>
      </c>
      <c r="G195" t="n">
        <v>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6653-2022</t>
        </is>
      </c>
      <c r="B196" s="1" t="n">
        <v>44602</v>
      </c>
      <c r="C196" s="1" t="n">
        <v>45883</v>
      </c>
      <c r="D196" t="inlineStr">
        <is>
          <t>VÄSTRA GÖTALANDS LÄN</t>
        </is>
      </c>
      <c r="E196" t="inlineStr">
        <is>
          <t>BOLLEBYGD</t>
        </is>
      </c>
      <c r="G196" t="n">
        <v>0.5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25938-2021</t>
        </is>
      </c>
      <c r="B197" s="1" t="n">
        <v>44344</v>
      </c>
      <c r="C197" s="1" t="n">
        <v>45883</v>
      </c>
      <c r="D197" t="inlineStr">
        <is>
          <t>VÄSTRA GÖTALANDS LÄN</t>
        </is>
      </c>
      <c r="E197" t="inlineStr">
        <is>
          <t>BOLLEBYGD</t>
        </is>
      </c>
      <c r="G197" t="n">
        <v>2.1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31746-2023</t>
        </is>
      </c>
      <c r="B198" s="1" t="n">
        <v>45117</v>
      </c>
      <c r="C198" s="1" t="n">
        <v>45883</v>
      </c>
      <c r="D198" t="inlineStr">
        <is>
          <t>VÄSTRA GÖTALANDS LÄN</t>
        </is>
      </c>
      <c r="E198" t="inlineStr">
        <is>
          <t>BOLLEBYGD</t>
        </is>
      </c>
      <c r="G198" t="n">
        <v>1.2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61244-2024</t>
        </is>
      </c>
      <c r="B199" s="1" t="n">
        <v>45645.68797453704</v>
      </c>
      <c r="C199" s="1" t="n">
        <v>45883</v>
      </c>
      <c r="D199" t="inlineStr">
        <is>
          <t>VÄSTRA GÖTALANDS LÄN</t>
        </is>
      </c>
      <c r="E199" t="inlineStr">
        <is>
          <t>BOLLEBYGD</t>
        </is>
      </c>
      <c r="G199" t="n">
        <v>4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25089-2025</t>
        </is>
      </c>
      <c r="B200" s="1" t="n">
        <v>45800.31393518519</v>
      </c>
      <c r="C200" s="1" t="n">
        <v>45883</v>
      </c>
      <c r="D200" t="inlineStr">
        <is>
          <t>VÄSTRA GÖTALANDS LÄN</t>
        </is>
      </c>
      <c r="E200" t="inlineStr">
        <is>
          <t>BOLLEBYGD</t>
        </is>
      </c>
      <c r="G200" t="n">
        <v>1.9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16534-2024</t>
        </is>
      </c>
      <c r="B201" s="1" t="n">
        <v>45408.43065972222</v>
      </c>
      <c r="C201" s="1" t="n">
        <v>45883</v>
      </c>
      <c r="D201" t="inlineStr">
        <is>
          <t>VÄSTRA GÖTALANDS LÄN</t>
        </is>
      </c>
      <c r="E201" t="inlineStr">
        <is>
          <t>BOLLEBYGD</t>
        </is>
      </c>
      <c r="G201" t="n">
        <v>4.5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25694-2025</t>
        </is>
      </c>
      <c r="B202" s="1" t="n">
        <v>45803.66457175926</v>
      </c>
      <c r="C202" s="1" t="n">
        <v>45883</v>
      </c>
      <c r="D202" t="inlineStr">
        <is>
          <t>VÄSTRA GÖTALANDS LÄN</t>
        </is>
      </c>
      <c r="E202" t="inlineStr">
        <is>
          <t>BOLLEBYGD</t>
        </is>
      </c>
      <c r="G202" t="n">
        <v>2.5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31711-2023</t>
        </is>
      </c>
      <c r="B203" s="1" t="n">
        <v>45117.82019675926</v>
      </c>
      <c r="C203" s="1" t="n">
        <v>45883</v>
      </c>
      <c r="D203" t="inlineStr">
        <is>
          <t>VÄSTRA GÖTALANDS LÄN</t>
        </is>
      </c>
      <c r="E203" t="inlineStr">
        <is>
          <t>BOLLEBYGD</t>
        </is>
      </c>
      <c r="G203" t="n">
        <v>1.9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31727-2023</t>
        </is>
      </c>
      <c r="B204" s="1" t="n">
        <v>45117</v>
      </c>
      <c r="C204" s="1" t="n">
        <v>45883</v>
      </c>
      <c r="D204" t="inlineStr">
        <is>
          <t>VÄSTRA GÖTALANDS LÄN</t>
        </is>
      </c>
      <c r="E204" t="inlineStr">
        <is>
          <t>BOLLEBYGD</t>
        </is>
      </c>
      <c r="G204" t="n">
        <v>3.1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31728-2023</t>
        </is>
      </c>
      <c r="B205" s="1" t="n">
        <v>45117</v>
      </c>
      <c r="C205" s="1" t="n">
        <v>45883</v>
      </c>
      <c r="D205" t="inlineStr">
        <is>
          <t>VÄSTRA GÖTALANDS LÄN</t>
        </is>
      </c>
      <c r="E205" t="inlineStr">
        <is>
          <t>BOLLEBYGD</t>
        </is>
      </c>
      <c r="G205" t="n">
        <v>0.6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17068-2025</t>
        </is>
      </c>
      <c r="B206" s="1" t="n">
        <v>45755.61555555555</v>
      </c>
      <c r="C206" s="1" t="n">
        <v>45883</v>
      </c>
      <c r="D206" t="inlineStr">
        <is>
          <t>VÄSTRA GÖTALANDS LÄN</t>
        </is>
      </c>
      <c r="E206" t="inlineStr">
        <is>
          <t>BOLLEBYGD</t>
        </is>
      </c>
      <c r="G206" t="n">
        <v>1.4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25698-2025</t>
        </is>
      </c>
      <c r="B207" s="1" t="n">
        <v>45803.66721064815</v>
      </c>
      <c r="C207" s="1" t="n">
        <v>45883</v>
      </c>
      <c r="D207" t="inlineStr">
        <is>
          <t>VÄSTRA GÖTALANDS LÄN</t>
        </is>
      </c>
      <c r="E207" t="inlineStr">
        <is>
          <t>BOLLEBYGD</t>
        </is>
      </c>
      <c r="G207" t="n">
        <v>4.7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17061-2025</t>
        </is>
      </c>
      <c r="B208" s="1" t="n">
        <v>45755.60864583333</v>
      </c>
      <c r="C208" s="1" t="n">
        <v>45883</v>
      </c>
      <c r="D208" t="inlineStr">
        <is>
          <t>VÄSTRA GÖTALANDS LÄN</t>
        </is>
      </c>
      <c r="E208" t="inlineStr">
        <is>
          <t>BOLLEBYGD</t>
        </is>
      </c>
      <c r="G208" t="n">
        <v>0.9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17079-2025</t>
        </is>
      </c>
      <c r="B209" s="1" t="n">
        <v>45755.6309375</v>
      </c>
      <c r="C209" s="1" t="n">
        <v>45883</v>
      </c>
      <c r="D209" t="inlineStr">
        <is>
          <t>VÄSTRA GÖTALANDS LÄN</t>
        </is>
      </c>
      <c r="E209" t="inlineStr">
        <is>
          <t>BOLLEBYGD</t>
        </is>
      </c>
      <c r="G209" t="n">
        <v>0.8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61314-2020</t>
        </is>
      </c>
      <c r="B210" s="1" t="n">
        <v>44155</v>
      </c>
      <c r="C210" s="1" t="n">
        <v>45883</v>
      </c>
      <c r="D210" t="inlineStr">
        <is>
          <t>VÄSTRA GÖTALANDS LÄN</t>
        </is>
      </c>
      <c r="E210" t="inlineStr">
        <is>
          <t>BOLLEBYGD</t>
        </is>
      </c>
      <c r="G210" t="n">
        <v>1.6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31724-2023</t>
        </is>
      </c>
      <c r="B211" s="1" t="n">
        <v>45117.91390046296</v>
      </c>
      <c r="C211" s="1" t="n">
        <v>45883</v>
      </c>
      <c r="D211" t="inlineStr">
        <is>
          <t>VÄSTRA GÖTALANDS LÄN</t>
        </is>
      </c>
      <c r="E211" t="inlineStr">
        <is>
          <t>BOLLEBYGD</t>
        </is>
      </c>
      <c r="G211" t="n">
        <v>1.7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31726-2023</t>
        </is>
      </c>
      <c r="B212" s="1" t="n">
        <v>45117.92457175926</v>
      </c>
      <c r="C212" s="1" t="n">
        <v>45883</v>
      </c>
      <c r="D212" t="inlineStr">
        <is>
          <t>VÄSTRA GÖTALANDS LÄN</t>
        </is>
      </c>
      <c r="E212" t="inlineStr">
        <is>
          <t>BOLLEBYGD</t>
        </is>
      </c>
      <c r="G212" t="n">
        <v>0.7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17925-2022</t>
        </is>
      </c>
      <c r="B213" s="1" t="n">
        <v>44683.57416666667</v>
      </c>
      <c r="C213" s="1" t="n">
        <v>45883</v>
      </c>
      <c r="D213" t="inlineStr">
        <is>
          <t>VÄSTRA GÖTALANDS LÄN</t>
        </is>
      </c>
      <c r="E213" t="inlineStr">
        <is>
          <t>BOLLEBYGD</t>
        </is>
      </c>
      <c r="G213" t="n">
        <v>1.4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21751-2022</t>
        </is>
      </c>
      <c r="B214" s="1" t="n">
        <v>44708.43361111111</v>
      </c>
      <c r="C214" s="1" t="n">
        <v>45883</v>
      </c>
      <c r="D214" t="inlineStr">
        <is>
          <t>VÄSTRA GÖTALANDS LÄN</t>
        </is>
      </c>
      <c r="E214" t="inlineStr">
        <is>
          <t>BOLLEBYGD</t>
        </is>
      </c>
      <c r="G214" t="n">
        <v>4.2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25928-2023</t>
        </is>
      </c>
      <c r="B215" s="1" t="n">
        <v>45090.67364583333</v>
      </c>
      <c r="C215" s="1" t="n">
        <v>45883</v>
      </c>
      <c r="D215" t="inlineStr">
        <is>
          <t>VÄSTRA GÖTALANDS LÄN</t>
        </is>
      </c>
      <c r="E215" t="inlineStr">
        <is>
          <t>BOLLEBYGD</t>
        </is>
      </c>
      <c r="G215" t="n">
        <v>2.7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5681-2021</t>
        </is>
      </c>
      <c r="B216" s="1" t="n">
        <v>44230</v>
      </c>
      <c r="C216" s="1" t="n">
        <v>45883</v>
      </c>
      <c r="D216" t="inlineStr">
        <is>
          <t>VÄSTRA GÖTALANDS LÄN</t>
        </is>
      </c>
      <c r="E216" t="inlineStr">
        <is>
          <t>BOLLEBYGD</t>
        </is>
      </c>
      <c r="G216" t="n">
        <v>0.9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30792-2023</t>
        </is>
      </c>
      <c r="B217" s="1" t="n">
        <v>45112.72848379629</v>
      </c>
      <c r="C217" s="1" t="n">
        <v>45883</v>
      </c>
      <c r="D217" t="inlineStr">
        <is>
          <t>VÄSTRA GÖTALANDS LÄN</t>
        </is>
      </c>
      <c r="E217" t="inlineStr">
        <is>
          <t>BOLLEBYGD</t>
        </is>
      </c>
      <c r="G217" t="n">
        <v>1.4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7046-2025</t>
        </is>
      </c>
      <c r="B218" s="1" t="n">
        <v>45701.6434375</v>
      </c>
      <c r="C218" s="1" t="n">
        <v>45883</v>
      </c>
      <c r="D218" t="inlineStr">
        <is>
          <t>VÄSTRA GÖTALANDS LÄN</t>
        </is>
      </c>
      <c r="E218" t="inlineStr">
        <is>
          <t>BOLLEBYGD</t>
        </is>
      </c>
      <c r="G218" t="n">
        <v>0.9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7040-2025</t>
        </is>
      </c>
      <c r="B219" s="1" t="n">
        <v>45701.63825231481</v>
      </c>
      <c r="C219" s="1" t="n">
        <v>45883</v>
      </c>
      <c r="D219" t="inlineStr">
        <is>
          <t>VÄSTRA GÖTALANDS LÄN</t>
        </is>
      </c>
      <c r="E219" t="inlineStr">
        <is>
          <t>BOLLEBYGD</t>
        </is>
      </c>
      <c r="G219" t="n">
        <v>8.1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42256-2023</t>
        </is>
      </c>
      <c r="B220" s="1" t="n">
        <v>45180</v>
      </c>
      <c r="C220" s="1" t="n">
        <v>45883</v>
      </c>
      <c r="D220" t="inlineStr">
        <is>
          <t>VÄSTRA GÖTALANDS LÄN</t>
        </is>
      </c>
      <c r="E220" t="inlineStr">
        <is>
          <t>BOLLEBYGD</t>
        </is>
      </c>
      <c r="G220" t="n">
        <v>0.5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41910-2024</t>
        </is>
      </c>
      <c r="B221" s="1" t="n">
        <v>45561.54084490741</v>
      </c>
      <c r="C221" s="1" t="n">
        <v>45883</v>
      </c>
      <c r="D221" t="inlineStr">
        <is>
          <t>VÄSTRA GÖTALANDS LÄN</t>
        </is>
      </c>
      <c r="E221" t="inlineStr">
        <is>
          <t>BOLLEBYGD</t>
        </is>
      </c>
      <c r="G221" t="n">
        <v>1.4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9086-2025</t>
        </is>
      </c>
      <c r="B222" s="1" t="n">
        <v>45713.67104166667</v>
      </c>
      <c r="C222" s="1" t="n">
        <v>45883</v>
      </c>
      <c r="D222" t="inlineStr">
        <is>
          <t>VÄSTRA GÖTALANDS LÄN</t>
        </is>
      </c>
      <c r="E222" t="inlineStr">
        <is>
          <t>BOLLEBYGD</t>
        </is>
      </c>
      <c r="G222" t="n">
        <v>4.1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62986-2023</t>
        </is>
      </c>
      <c r="B223" s="1" t="n">
        <v>45272</v>
      </c>
      <c r="C223" s="1" t="n">
        <v>45883</v>
      </c>
      <c r="D223" t="inlineStr">
        <is>
          <t>VÄSTRA GÖTALANDS LÄN</t>
        </is>
      </c>
      <c r="E223" t="inlineStr">
        <is>
          <t>BOLLEBYGD</t>
        </is>
      </c>
      <c r="G223" t="n">
        <v>7.5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35491-2025</t>
        </is>
      </c>
      <c r="B224" s="1" t="n">
        <v>45855.87664351852</v>
      </c>
      <c r="C224" s="1" t="n">
        <v>45883</v>
      </c>
      <c r="D224" t="inlineStr">
        <is>
          <t>VÄSTRA GÖTALANDS LÄN</t>
        </is>
      </c>
      <c r="E224" t="inlineStr">
        <is>
          <t>BOLLEBYGD</t>
        </is>
      </c>
      <c r="G224" t="n">
        <v>1.4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28073-2024</t>
        </is>
      </c>
      <c r="B225" s="1" t="n">
        <v>45476.58127314815</v>
      </c>
      <c r="C225" s="1" t="n">
        <v>45883</v>
      </c>
      <c r="D225" t="inlineStr">
        <is>
          <t>VÄSTRA GÖTALANDS LÄN</t>
        </is>
      </c>
      <c r="E225" t="inlineStr">
        <is>
          <t>BOLLEBYGD</t>
        </is>
      </c>
      <c r="G225" t="n">
        <v>7.4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28201-2021</t>
        </is>
      </c>
      <c r="B226" s="1" t="n">
        <v>44355.6369675926</v>
      </c>
      <c r="C226" s="1" t="n">
        <v>45883</v>
      </c>
      <c r="D226" t="inlineStr">
        <is>
          <t>VÄSTRA GÖTALANDS LÄN</t>
        </is>
      </c>
      <c r="E226" t="inlineStr">
        <is>
          <t>BOLLEBYGD</t>
        </is>
      </c>
      <c r="G226" t="n">
        <v>10.5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15969-2025</t>
        </is>
      </c>
      <c r="B227" s="1" t="n">
        <v>45749.54825231482</v>
      </c>
      <c r="C227" s="1" t="n">
        <v>45883</v>
      </c>
      <c r="D227" t="inlineStr">
        <is>
          <t>VÄSTRA GÖTALANDS LÄN</t>
        </is>
      </c>
      <c r="E227" t="inlineStr">
        <is>
          <t>BOLLEBYGD</t>
        </is>
      </c>
      <c r="G227" t="n">
        <v>0.7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59613-2023</t>
        </is>
      </c>
      <c r="B228" s="1" t="n">
        <v>45254.64126157408</v>
      </c>
      <c r="C228" s="1" t="n">
        <v>45883</v>
      </c>
      <c r="D228" t="inlineStr">
        <is>
          <t>VÄSTRA GÖTALANDS LÄN</t>
        </is>
      </c>
      <c r="E228" t="inlineStr">
        <is>
          <t>BOLLEBYGD</t>
        </is>
      </c>
      <c r="G228" t="n">
        <v>1.2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29306-2025</t>
        </is>
      </c>
      <c r="B229" s="1" t="n">
        <v>45824.45997685185</v>
      </c>
      <c r="C229" s="1" t="n">
        <v>45883</v>
      </c>
      <c r="D229" t="inlineStr">
        <is>
          <t>VÄSTRA GÖTALANDS LÄN</t>
        </is>
      </c>
      <c r="E229" t="inlineStr">
        <is>
          <t>BOLLEBYGD</t>
        </is>
      </c>
      <c r="G229" t="n">
        <v>3.2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61318-2023</t>
        </is>
      </c>
      <c r="B230" s="1" t="n">
        <v>45264</v>
      </c>
      <c r="C230" s="1" t="n">
        <v>45883</v>
      </c>
      <c r="D230" t="inlineStr">
        <is>
          <t>VÄSTRA GÖTALANDS LÄN</t>
        </is>
      </c>
      <c r="E230" t="inlineStr">
        <is>
          <t>BOLLEBYGD</t>
        </is>
      </c>
      <c r="G230" t="n">
        <v>7.2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29794-2025</t>
        </is>
      </c>
      <c r="B231" s="1" t="n">
        <v>45825.66684027778</v>
      </c>
      <c r="C231" s="1" t="n">
        <v>45883</v>
      </c>
      <c r="D231" t="inlineStr">
        <is>
          <t>VÄSTRA GÖTALANDS LÄN</t>
        </is>
      </c>
      <c r="E231" t="inlineStr">
        <is>
          <t>BOLLEBYGD</t>
        </is>
      </c>
      <c r="G231" t="n">
        <v>4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14032-2025</t>
        </is>
      </c>
      <c r="B232" s="1" t="n">
        <v>45740.35876157408</v>
      </c>
      <c r="C232" s="1" t="n">
        <v>45883</v>
      </c>
      <c r="D232" t="inlineStr">
        <is>
          <t>VÄSTRA GÖTALANDS LÄN</t>
        </is>
      </c>
      <c r="E232" t="inlineStr">
        <is>
          <t>BOLLEBYGD</t>
        </is>
      </c>
      <c r="G232" t="n">
        <v>1.9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13121-2025</t>
        </is>
      </c>
      <c r="B233" s="1" t="n">
        <v>45734.77549768519</v>
      </c>
      <c r="C233" s="1" t="n">
        <v>45883</v>
      </c>
      <c r="D233" t="inlineStr">
        <is>
          <t>VÄSTRA GÖTALANDS LÄN</t>
        </is>
      </c>
      <c r="E233" t="inlineStr">
        <is>
          <t>BOLLEBYGD</t>
        </is>
      </c>
      <c r="G233" t="n">
        <v>1.3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10918-2025</t>
        </is>
      </c>
      <c r="B234" s="1" t="n">
        <v>45722.77650462963</v>
      </c>
      <c r="C234" s="1" t="n">
        <v>45883</v>
      </c>
      <c r="D234" t="inlineStr">
        <is>
          <t>VÄSTRA GÖTALANDS LÄN</t>
        </is>
      </c>
      <c r="E234" t="inlineStr">
        <is>
          <t>BOLLEBYGD</t>
        </is>
      </c>
      <c r="G234" t="n">
        <v>1.9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9471-2025</t>
        </is>
      </c>
      <c r="B235" s="1" t="n">
        <v>45715.47013888889</v>
      </c>
      <c r="C235" s="1" t="n">
        <v>45883</v>
      </c>
      <c r="D235" t="inlineStr">
        <is>
          <t>VÄSTRA GÖTALANDS LÄN</t>
        </is>
      </c>
      <c r="E235" t="inlineStr">
        <is>
          <t>BOLLEBYGD</t>
        </is>
      </c>
      <c r="G235" t="n">
        <v>0.5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36650-2025</t>
        </is>
      </c>
      <c r="B236" s="1" t="n">
        <v>45872.58658564815</v>
      </c>
      <c r="C236" s="1" t="n">
        <v>45883</v>
      </c>
      <c r="D236" t="inlineStr">
        <is>
          <t>VÄSTRA GÖTALANDS LÄN</t>
        </is>
      </c>
      <c r="E236" t="inlineStr">
        <is>
          <t>BOLLEBYGD</t>
        </is>
      </c>
      <c r="G236" t="n">
        <v>4.1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55159-2024</t>
        </is>
      </c>
      <c r="B237" s="1" t="n">
        <v>45621.50773148148</v>
      </c>
      <c r="C237" s="1" t="n">
        <v>45883</v>
      </c>
      <c r="D237" t="inlineStr">
        <is>
          <t>VÄSTRA GÖTALANDS LÄN</t>
        </is>
      </c>
      <c r="E237" t="inlineStr">
        <is>
          <t>BOLLEBYGD</t>
        </is>
      </c>
      <c r="G237" t="n">
        <v>1.2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31804-2025</t>
        </is>
      </c>
      <c r="B238" s="1" t="n">
        <v>45834.55309027778</v>
      </c>
      <c r="C238" s="1" t="n">
        <v>45883</v>
      </c>
      <c r="D238" t="inlineStr">
        <is>
          <t>VÄSTRA GÖTALANDS LÄN</t>
        </is>
      </c>
      <c r="E238" t="inlineStr">
        <is>
          <t>BOLLEBYGD</t>
        </is>
      </c>
      <c r="G238" t="n">
        <v>1.2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31594-2025</t>
        </is>
      </c>
      <c r="B239" s="1" t="n">
        <v>45833.70512731482</v>
      </c>
      <c r="C239" s="1" t="n">
        <v>45883</v>
      </c>
      <c r="D239" t="inlineStr">
        <is>
          <t>VÄSTRA GÖTALANDS LÄN</t>
        </is>
      </c>
      <c r="E239" t="inlineStr">
        <is>
          <t>BOLLEBYGD</t>
        </is>
      </c>
      <c r="G239" t="n">
        <v>2.8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32509-2025</t>
        </is>
      </c>
      <c r="B240" s="1" t="n">
        <v>45838.4722800926</v>
      </c>
      <c r="C240" s="1" t="n">
        <v>45883</v>
      </c>
      <c r="D240" t="inlineStr">
        <is>
          <t>VÄSTRA GÖTALANDS LÄN</t>
        </is>
      </c>
      <c r="E240" t="inlineStr">
        <is>
          <t>BOLLEBYGD</t>
        </is>
      </c>
      <c r="G240" t="n">
        <v>3.6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32506-2025</t>
        </is>
      </c>
      <c r="B241" s="1" t="n">
        <v>45838.4687037037</v>
      </c>
      <c r="C241" s="1" t="n">
        <v>45883</v>
      </c>
      <c r="D241" t="inlineStr">
        <is>
          <t>VÄSTRA GÖTALANDS LÄN</t>
        </is>
      </c>
      <c r="E241" t="inlineStr">
        <is>
          <t>BOLLEBYGD</t>
        </is>
      </c>
      <c r="G241" t="n">
        <v>0.5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32503-2025</t>
        </is>
      </c>
      <c r="B242" s="1" t="n">
        <v>45838.46440972222</v>
      </c>
      <c r="C242" s="1" t="n">
        <v>45883</v>
      </c>
      <c r="D242" t="inlineStr">
        <is>
          <t>VÄSTRA GÖTALANDS LÄN</t>
        </is>
      </c>
      <c r="E242" t="inlineStr">
        <is>
          <t>BOLLEBYGD</t>
        </is>
      </c>
      <c r="G242" t="n">
        <v>0.6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32320-2025</t>
        </is>
      </c>
      <c r="B243" s="1" t="n">
        <v>45836.4041087963</v>
      </c>
      <c r="C243" s="1" t="n">
        <v>45883</v>
      </c>
      <c r="D243" t="inlineStr">
        <is>
          <t>VÄSTRA GÖTALANDS LÄN</t>
        </is>
      </c>
      <c r="E243" t="inlineStr">
        <is>
          <t>BOLLEBYGD</t>
        </is>
      </c>
      <c r="G243" t="n">
        <v>11.7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32862-2025</t>
        </is>
      </c>
      <c r="B244" s="1" t="n">
        <v>45839.5834837963</v>
      </c>
      <c r="C244" s="1" t="n">
        <v>45883</v>
      </c>
      <c r="D244" t="inlineStr">
        <is>
          <t>VÄSTRA GÖTALANDS LÄN</t>
        </is>
      </c>
      <c r="E244" t="inlineStr">
        <is>
          <t>BOLLEBYGD</t>
        </is>
      </c>
      <c r="G244" t="n">
        <v>2.1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48513-2021</t>
        </is>
      </c>
      <c r="B245" s="1" t="n">
        <v>44449</v>
      </c>
      <c r="C245" s="1" t="n">
        <v>45883</v>
      </c>
      <c r="D245" t="inlineStr">
        <is>
          <t>VÄSTRA GÖTALANDS LÄN</t>
        </is>
      </c>
      <c r="E245" t="inlineStr">
        <is>
          <t>BOLLEBYGD</t>
        </is>
      </c>
      <c r="G245" t="n">
        <v>3.1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38108-2025</t>
        </is>
      </c>
      <c r="B246" s="1" t="n">
        <v>45882.5039699074</v>
      </c>
      <c r="C246" s="1" t="n">
        <v>45883</v>
      </c>
      <c r="D246" t="inlineStr">
        <is>
          <t>VÄSTRA GÖTALANDS LÄN</t>
        </is>
      </c>
      <c r="E246" t="inlineStr">
        <is>
          <t>BOLLEBYGD</t>
        </is>
      </c>
      <c r="G246" t="n">
        <v>4.6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54144-2022</t>
        </is>
      </c>
      <c r="B247" s="1" t="n">
        <v>44881</v>
      </c>
      <c r="C247" s="1" t="n">
        <v>45883</v>
      </c>
      <c r="D247" t="inlineStr">
        <is>
          <t>VÄSTRA GÖTALANDS LÄN</t>
        </is>
      </c>
      <c r="E247" t="inlineStr">
        <is>
          <t>BOLLEBYGD</t>
        </is>
      </c>
      <c r="G247" t="n">
        <v>0.4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2006-2024</t>
        </is>
      </c>
      <c r="B248" s="1" t="n">
        <v>45308</v>
      </c>
      <c r="C248" s="1" t="n">
        <v>45883</v>
      </c>
      <c r="D248" t="inlineStr">
        <is>
          <t>VÄSTRA GÖTALANDS LÄN</t>
        </is>
      </c>
      <c r="E248" t="inlineStr">
        <is>
          <t>BOLLEBYGD</t>
        </is>
      </c>
      <c r="G248" t="n">
        <v>1.2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61671-2022</t>
        </is>
      </c>
      <c r="B249" s="1" t="n">
        <v>44917.3327662037</v>
      </c>
      <c r="C249" s="1" t="n">
        <v>45883</v>
      </c>
      <c r="D249" t="inlineStr">
        <is>
          <t>VÄSTRA GÖTALANDS LÄN</t>
        </is>
      </c>
      <c r="E249" t="inlineStr">
        <is>
          <t>BOLLEBYGD</t>
        </is>
      </c>
      <c r="G249" t="n">
        <v>0.5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>
      <c r="A250" t="inlineStr">
        <is>
          <t>A 30655-2023</t>
        </is>
      </c>
      <c r="B250" s="1" t="n">
        <v>45112.49369212963</v>
      </c>
      <c r="C250" s="1" t="n">
        <v>45883</v>
      </c>
      <c r="D250" t="inlineStr">
        <is>
          <t>VÄSTRA GÖTALANDS LÄN</t>
        </is>
      </c>
      <c r="E250" t="inlineStr">
        <is>
          <t>BOLLEBYGD</t>
        </is>
      </c>
      <c r="G250" t="n">
        <v>2.9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2025-08-14T08:27:52Z</dcterms:created>
  <dcterms:modified xmlns:dcterms="http://purl.org/dc/terms/" xmlns:xsi="http://www.w3.org/2001/XMLSchema-instance" xsi:type="dcterms:W3CDTF">2025-08-14T08:27:52Z</dcterms:modified>
</cp:coreProperties>
</file>