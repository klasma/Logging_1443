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46233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46233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46233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46233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46233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46233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46233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46233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46233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46233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46233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46233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Talltita
Tjäder</t>
        </is>
      </c>
      <c r="W14">
        <f>HYPERLINK("https://klasma.github.io/Logging_1443/artfynd/A 30666-2023 artfynd.xlsx", "A 30666-2023")</f>
        <v/>
      </c>
      <c r="X14">
        <f>HYPERLINK("https://klasma.github.io/Logging_1443/kartor/A 30666-2023 karta.png", "A 30666-2023")</f>
        <v/>
      </c>
      <c r="Y14">
        <f>HYPERLINK("https://klasma.github.io/Logging_1443/kartor_geotiff/A 30666-2023 georefererad karta.tif", "A 30666-2023")</f>
        <v/>
      </c>
      <c r="AA14">
        <f>HYPERLINK("https://klasma.github.io/Logging_1443/klagomål/A 30666-2023 FSC-klagomål.docx", "A 30666-2023")</f>
        <v/>
      </c>
      <c r="AB14">
        <f>HYPERLINK("https://klasma.github.io/Logging_1443/klagomålsmail/A 30666-2023 FSC-klagomål mail.docx", "A 30666-2023")</f>
        <v/>
      </c>
      <c r="AC14">
        <f>HYPERLINK("https://klasma.github.io/Logging_1443/tillsyn/A 30666-2023 tillsynsbegäran.docx", "A 30666-2023")</f>
        <v/>
      </c>
      <c r="AD14">
        <f>HYPERLINK("https://klasma.github.io/Logging_1443/tillsynsmail/A 30666-2023 tillsynsbegäran mail.docx", "A 30666-2023")</f>
        <v/>
      </c>
      <c r="AE14">
        <f>HYPERLINK("https://klasma.github.io/Logging_1443/fåglar/A 30666-2023 prioriterade fågelarter.docx", "A 30666-2023")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46233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46233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46233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46233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46233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46233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Fällmossa</t>
        </is>
      </c>
      <c r="W20">
        <f>HYPERLINK("https://klasma.github.io/Logging_1443/artfynd/A 32503-2025 artfynd.xlsx", "A 32503-2025")</f>
        <v/>
      </c>
      <c r="X20">
        <f>HYPERLINK("https://klasma.github.io/Logging_1443/kartor/A 32503-2025 karta.png", "A 32503-2025")</f>
        <v/>
      </c>
      <c r="Y20">
        <f>HYPERLINK("https://klasma.github.io/Logging_1443/kartor_geotiff/A 32503-2025 georefererad karta.tif", "A 32503-2025")</f>
        <v/>
      </c>
      <c r="AA20">
        <f>HYPERLINK("https://klasma.github.io/Logging_1443/klagomål/A 32503-2025 FSC-klagomål.docx", "A 32503-2025")</f>
        <v/>
      </c>
      <c r="AB20">
        <f>HYPERLINK("https://klasma.github.io/Logging_1443/klagomålsmail/A 32503-2025 FSC-klagomål mail.docx", "A 32503-2025")</f>
        <v/>
      </c>
      <c r="AC20">
        <f>HYPERLINK("https://klasma.github.io/Logging_1443/tillsyn/A 32503-2025 tillsynsbegäran.docx", "A 32503-2025")</f>
        <v/>
      </c>
      <c r="AD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46233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30745-2023 artfynd.xlsx", "A 30745-2023")</f>
        <v/>
      </c>
      <c r="X21">
        <f>HYPERLINK("https://klasma.github.io/Logging_1443/kartor/A 30745-2023 karta.png", "A 30745-2023")</f>
        <v/>
      </c>
      <c r="Y21">
        <f>HYPERLINK("https://klasma.github.io/Logging_1443/kartor_geotiff/A 30745-2023 georefererad karta.tif", "A 30745-2023")</f>
        <v/>
      </c>
      <c r="AA21">
        <f>HYPERLINK("https://klasma.github.io/Logging_1443/klagomål/A 30745-2023 FSC-klagomål.docx", "A 30745-2023")</f>
        <v/>
      </c>
      <c r="AB21">
        <f>HYPERLINK("https://klasma.github.io/Logging_1443/klagomålsmail/A 30745-2023 FSC-klagomål mail.docx", "A 30745-2023")</f>
        <v/>
      </c>
      <c r="AC21">
        <f>HYPERLINK("https://klasma.github.io/Logging_1443/tillsyn/A 30745-2023 tillsynsbegäran.docx", "A 30745-2023")</f>
        <v/>
      </c>
      <c r="AD21">
        <f>HYPERLINK("https://klasma.github.io/Logging_1443/tillsynsmail/A 30745-2023 tillsynsbegäran mail.docx", "A 30745-2023")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46233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46233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46233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46233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46233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46233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46233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46233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46233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46233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46233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46233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46233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46233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46233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46233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46233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46233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46233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46233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46233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46233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46233</v>
      </c>
      <c r="F45" t="inlineStr">
        <is>
          <t>VÄSTRA GÖTALANDS LÄN</t>
        </is>
      </c>
      <c r="G45" t="inlineStr">
        <is>
          <t>BOLLEBYGD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44754</v>
      </c>
      <c r="E46" s="1" t="n">
        <v>46233</v>
      </c>
      <c r="F46" t="inlineStr">
        <is>
          <t>VÄSTRA GÖTALANDS LÄN</t>
        </is>
      </c>
      <c r="G46" t="inlineStr">
        <is>
          <t>BOLLEBYGD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46233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46233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46233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45328</v>
      </c>
      <c r="E50" s="1" t="n">
        <v>46233</v>
      </c>
      <c r="F50" t="inlineStr">
        <is>
          <t>VÄSTRA GÖTALANDS LÄN</t>
        </is>
      </c>
      <c r="G50" t="inlineStr">
        <is>
          <t>BOLLEBYGD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46233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46233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46233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46233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46233</v>
      </c>
      <c r="F55" t="inlineStr">
        <is>
          <t>VÄSTRA GÖTALANDS LÄN</t>
        </is>
      </c>
      <c r="G55" t="inlineStr">
        <is>
          <t>BOLLEBYGD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46233</v>
      </c>
      <c r="F56" t="inlineStr">
        <is>
          <t>VÄSTRA GÖTALANDS LÄN</t>
        </is>
      </c>
      <c r="G56" t="inlineStr">
        <is>
          <t>BOLLEBYGD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46233</v>
      </c>
      <c r="F57" t="inlineStr">
        <is>
          <t>VÄSTRA GÖTALANDS LÄN</t>
        </is>
      </c>
      <c r="G57" t="inlineStr">
        <is>
          <t>BOLLEBYGD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45476</v>
      </c>
      <c r="E58" s="1" t="n">
        <v>46233</v>
      </c>
      <c r="F58" t="inlineStr">
        <is>
          <t>VÄSTRA GÖTALANDS LÄN</t>
        </is>
      </c>
      <c r="G58" t="inlineStr">
        <is>
          <t>BOLLEBYGD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22834-2024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46233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46233</v>
      </c>
      <c r="F60" t="inlineStr">
        <is>
          <t>VÄSTRA GÖTALANDS LÄN</t>
        </is>
      </c>
      <c r="G60" t="inlineStr">
        <is>
          <t>BOLLEBYGD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46233</v>
      </c>
      <c r="F61" t="inlineStr">
        <is>
          <t>VÄSTRA GÖTALANDS LÄN</t>
        </is>
      </c>
      <c r="G61" t="inlineStr">
        <is>
          <t>BOLLEBYGD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46233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46233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23330-2024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45453</v>
      </c>
      <c r="E64" s="1" t="n">
        <v>46233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46233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46233</v>
      </c>
      <c r="F66" t="inlineStr">
        <is>
          <t>VÄSTRA GÖTALANDS LÄN</t>
        </is>
      </c>
      <c r="G66" t="inlineStr">
        <is>
          <t>BOLLEBYGD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46233</v>
      </c>
      <c r="F67" t="inlineStr">
        <is>
          <t>VÄSTRA GÖTALANDS LÄN</t>
        </is>
      </c>
      <c r="G67" t="inlineStr">
        <is>
          <t>BOLLEBYGD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47522-2024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45587</v>
      </c>
      <c r="E68" s="1" t="n">
        <v>46233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46233</v>
      </c>
      <c r="F69" t="inlineStr">
        <is>
          <t>VÄSTRA GÖTALANDS LÄN</t>
        </is>
      </c>
      <c r="G69" t="inlineStr">
        <is>
          <t>BOLLEBYGD</t>
        </is>
      </c>
      <c r="H69" t="inlineStr">
        <is>
          <t>Kyrkan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46233</v>
      </c>
      <c r="F70" t="inlineStr">
        <is>
          <t>VÄSTRA GÖTALANDS LÄN</t>
        </is>
      </c>
      <c r="G70" t="inlineStr">
        <is>
          <t>BOLLEBYGD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46233</v>
      </c>
      <c r="F71" t="inlineStr">
        <is>
          <t>VÄSTRA GÖTALANDS LÄN</t>
        </is>
      </c>
      <c r="G71" t="inlineStr">
        <is>
          <t>BOLLEBYGD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46233</v>
      </c>
      <c r="F72" t="inlineStr">
        <is>
          <t>VÄSTRA GÖTALANDS LÄN</t>
        </is>
      </c>
      <c r="G72" t="inlineStr">
        <is>
          <t>BOLLEBYGD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53055-2024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45611</v>
      </c>
      <c r="E73" s="1" t="n">
        <v>46233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45825</v>
      </c>
      <c r="E74" s="1" t="n">
        <v>46233</v>
      </c>
      <c r="F74" t="inlineStr">
        <is>
          <t>VÄSTRA GÖTALANDS LÄN</t>
        </is>
      </c>
      <c r="G74" t="inlineStr">
        <is>
          <t>BOLLEBYGD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46233</v>
      </c>
      <c r="F75" t="inlineStr">
        <is>
          <t>VÄSTRA GÖTALANDS LÄN</t>
        </is>
      </c>
      <c r="G75" t="inlineStr">
        <is>
          <t>BOLLEBYGD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46233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46233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45118</v>
      </c>
      <c r="E78" s="1" t="n">
        <v>46233</v>
      </c>
      <c r="F78" t="inlineStr">
        <is>
          <t>VÄSTRA GÖTALANDS LÄN</t>
        </is>
      </c>
      <c r="G78" t="inlineStr">
        <is>
          <t>BOLLEBYGD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46233</v>
      </c>
      <c r="F79" t="inlineStr">
        <is>
          <t>VÄSTRA GÖTALANDS LÄN</t>
        </is>
      </c>
      <c r="G79" t="inlineStr">
        <is>
          <t>BOLLEBYGD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46233</v>
      </c>
      <c r="F80" t="inlineStr">
        <is>
          <t>VÄSTRA GÖTALANDS LÄN</t>
        </is>
      </c>
      <c r="G80" t="inlineStr">
        <is>
          <t>BOLLEBYGD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46233</v>
      </c>
      <c r="F81" t="inlineStr">
        <is>
          <t>VÄSTRA GÖTALANDS LÄN</t>
        </is>
      </c>
      <c r="G81" t="inlineStr">
        <is>
          <t>BOLLEBYGD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46233</v>
      </c>
      <c r="F82" t="inlineStr">
        <is>
          <t>VÄSTRA GÖTALANDS LÄN</t>
        </is>
      </c>
      <c r="G82" t="inlineStr">
        <is>
          <t>BOLLEBYGD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46233</v>
      </c>
      <c r="F83" t="inlineStr">
        <is>
          <t>VÄSTRA GÖTALANDS LÄN</t>
        </is>
      </c>
      <c r="G83" t="inlineStr">
        <is>
          <t>BOLLEBYGD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46233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46233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45836</v>
      </c>
      <c r="E86" s="1" t="n">
        <v>46233</v>
      </c>
      <c r="F86" t="inlineStr">
        <is>
          <t>VÄSTRA GÖTALANDS LÄN</t>
        </is>
      </c>
      <c r="G86" t="inlineStr">
        <is>
          <t>BOLLEBYGD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44981</v>
      </c>
      <c r="E87" s="1" t="n">
        <v>46233</v>
      </c>
      <c r="F87" t="inlineStr">
        <is>
          <t>VÄSTRA GÖTALANDS LÄN</t>
        </is>
      </c>
      <c r="G87" t="inlineStr">
        <is>
          <t>BOLLEBYGD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46233</v>
      </c>
      <c r="F88" t="inlineStr">
        <is>
          <t>VÄSTRA GÖTALANDS LÄN</t>
        </is>
      </c>
      <c r="G88" t="inlineStr">
        <is>
          <t>BOLLEBYGD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46233</v>
      </c>
      <c r="F89" t="inlineStr">
        <is>
          <t>VÄSTRA GÖTALANDS LÄN</t>
        </is>
      </c>
      <c r="G89" t="inlineStr">
        <is>
          <t>BOLLEBYGD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6074-2026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46233</v>
      </c>
      <c r="F90" t="inlineStr">
        <is>
          <t>VÄSTRA GÖTALANDS LÄN</t>
        </is>
      </c>
      <c r="G90" t="inlineStr">
        <is>
          <t>BOLLEBYGD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46233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46233</v>
      </c>
      <c r="F92" t="inlineStr">
        <is>
          <t>VÄSTRA GÖTALANDS LÄN</t>
        </is>
      </c>
      <c r="G92" t="inlineStr">
        <is>
          <t>BOLLEBYGD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46233</v>
      </c>
      <c r="F93" t="inlineStr">
        <is>
          <t>VÄSTRA GÖTALANDS LÄN</t>
        </is>
      </c>
      <c r="G93" t="inlineStr">
        <is>
          <t>BOLLEBYGD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46233</v>
      </c>
      <c r="F94" t="inlineStr">
        <is>
          <t>VÄSTRA GÖTALANDS LÄN</t>
        </is>
      </c>
      <c r="G94" t="inlineStr">
        <is>
          <t>BOLLEBYGD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46233</v>
      </c>
      <c r="F95" t="inlineStr">
        <is>
          <t>VÄSTRA GÖTALANDS LÄN</t>
        </is>
      </c>
      <c r="G95" t="inlineStr">
        <is>
          <t>BOLLEBYGD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46233</v>
      </c>
      <c r="F96" t="inlineStr">
        <is>
          <t>VÄSTRA GÖTALANDS LÄN</t>
        </is>
      </c>
      <c r="G96" t="inlineStr">
        <is>
          <t>BOLLEBYGD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56331-2024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46233</v>
      </c>
      <c r="F97" t="inlineStr">
        <is>
          <t>VÄSTRA GÖTALANDS LÄN</t>
        </is>
      </c>
      <c r="G97" t="inlineStr">
        <is>
          <t>BOLLEBYGD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46052</v>
      </c>
      <c r="E98" s="1" t="n">
        <v>46233</v>
      </c>
      <c r="F98" t="inlineStr">
        <is>
          <t>VÄSTRA GÖTALANDS LÄN</t>
        </is>
      </c>
      <c r="G98" t="inlineStr">
        <is>
          <t>BOLLEBYGD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46052</v>
      </c>
      <c r="E99" s="1" t="n">
        <v>46233</v>
      </c>
      <c r="F99" t="inlineStr">
        <is>
          <t>VÄSTRA GÖTALANDS LÄN</t>
        </is>
      </c>
      <c r="G99" t="inlineStr">
        <is>
          <t>BOLLEBYGD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45872</v>
      </c>
      <c r="E100" s="1" t="n">
        <v>46233</v>
      </c>
      <c r="F100" t="inlineStr">
        <is>
          <t>VÄSTRA GÖTALANDS LÄN</t>
        </is>
      </c>
      <c r="G100" t="inlineStr">
        <is>
          <t>BOLLEBYGD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46233</v>
      </c>
      <c r="F101" t="inlineStr">
        <is>
          <t>VÄSTRA GÖTALANDS LÄN</t>
        </is>
      </c>
      <c r="G101" t="inlineStr">
        <is>
          <t>BOLLEBYGD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46233</v>
      </c>
      <c r="F102" t="inlineStr">
        <is>
          <t>VÄSTRA GÖTALANDS LÄN</t>
        </is>
      </c>
      <c r="G102" t="inlineStr">
        <is>
          <t>BOLLEBYGD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46233</v>
      </c>
      <c r="F103" t="inlineStr">
        <is>
          <t>VÄSTRA GÖTALANDS LÄN</t>
        </is>
      </c>
      <c r="G103" t="inlineStr">
        <is>
          <t>BOLLEBYGD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31546-2022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44775</v>
      </c>
      <c r="E104" s="1" t="n">
        <v>46233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46233</v>
      </c>
      <c r="F105" t="inlineStr">
        <is>
          <t>VÄSTRA GÖTALANDS LÄN</t>
        </is>
      </c>
      <c r="G105" t="inlineStr">
        <is>
          <t>BOLLEBYGD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46233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46233</v>
      </c>
      <c r="F107" t="inlineStr">
        <is>
          <t>VÄSTRA GÖTALANDS LÄN</t>
        </is>
      </c>
      <c r="G107" t="inlineStr">
        <is>
          <t>BOLLEBYGD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46233</v>
      </c>
      <c r="F108" t="inlineStr">
        <is>
          <t>VÄSTRA GÖTALANDS LÄN</t>
        </is>
      </c>
      <c r="G108" t="inlineStr">
        <is>
          <t>BOLLEBYGD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46233</v>
      </c>
      <c r="F109" t="inlineStr">
        <is>
          <t>VÄSTRA GÖTALANDS LÄN</t>
        </is>
      </c>
      <c r="G109" t="inlineStr">
        <is>
          <t>BOLLEBYGD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46233</v>
      </c>
      <c r="F110" t="inlineStr">
        <is>
          <t>VÄSTRA GÖTALANDS LÄN</t>
        </is>
      </c>
      <c r="G110" t="inlineStr">
        <is>
          <t>BOLLEBYGD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45604</v>
      </c>
      <c r="E111" s="1" t="n">
        <v>46233</v>
      </c>
      <c r="F111" t="inlineStr">
        <is>
          <t>VÄSTRA GÖTALANDS LÄN</t>
        </is>
      </c>
      <c r="G111" t="inlineStr">
        <is>
          <t>BOLLEBYGD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52939-2025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45957</v>
      </c>
      <c r="E112" s="1" t="n">
        <v>46233</v>
      </c>
      <c r="F112" t="inlineStr">
        <is>
          <t>VÄSTRA GÖTALANDS LÄN</t>
        </is>
      </c>
      <c r="G112" t="inlineStr">
        <is>
          <t>BOLLEBYGD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46233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46233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46233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51314-2023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46233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46233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46233</v>
      </c>
      <c r="F118" t="inlineStr">
        <is>
          <t>VÄSTRA GÖTALANDS LÄN</t>
        </is>
      </c>
      <c r="G118" t="inlineStr">
        <is>
          <t>BOLLEBYGD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17434-2026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46120</v>
      </c>
      <c r="E119" s="1" t="n">
        <v>46233</v>
      </c>
      <c r="F119" t="inlineStr">
        <is>
          <t>VÄSTRA GÖTALANDS LÄN</t>
        </is>
      </c>
      <c r="G119" t="inlineStr">
        <is>
          <t>BOLLEBYGD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46233</v>
      </c>
      <c r="F120" t="inlineStr">
        <is>
          <t>VÄSTRA GÖTALANDS LÄN</t>
        </is>
      </c>
      <c r="G120" t="inlineStr">
        <is>
          <t>BOLLEBYGD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46233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46233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45041</v>
      </c>
      <c r="E123" s="1" t="n">
        <v>46233</v>
      </c>
      <c r="F123" t="inlineStr">
        <is>
          <t>VÄSTRA GÖTALANDS LÄN</t>
        </is>
      </c>
      <c r="G123" t="inlineStr">
        <is>
          <t>BOLLEBYGD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11584-2026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46084</v>
      </c>
      <c r="E124" s="1" t="n">
        <v>46233</v>
      </c>
      <c r="F124" t="inlineStr">
        <is>
          <t>VÄSTRA GÖTALANDS LÄN</t>
        </is>
      </c>
      <c r="G124" t="inlineStr">
        <is>
          <t>BOLLEBYGD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46233</v>
      </c>
      <c r="F125" t="inlineStr">
        <is>
          <t>VÄSTRA GÖTALANDS LÄN</t>
        </is>
      </c>
      <c r="G125" t="inlineStr">
        <is>
          <t>BOLLEBYGD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46233</v>
      </c>
      <c r="F126" t="inlineStr">
        <is>
          <t>VÄSTRA GÖTALANDS LÄN</t>
        </is>
      </c>
      <c r="G126" t="inlineStr">
        <is>
          <t>BOLLEBYGD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46233</v>
      </c>
      <c r="F127" t="inlineStr">
        <is>
          <t>VÄSTRA GÖTALANDS LÄN</t>
        </is>
      </c>
      <c r="G127" t="inlineStr">
        <is>
          <t>BOLLEBYGD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40202-2021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44418</v>
      </c>
      <c r="E128" s="1" t="n">
        <v>46233</v>
      </c>
      <c r="F128" t="inlineStr">
        <is>
          <t>VÄSTRA GÖTALANDS LÄN</t>
        </is>
      </c>
      <c r="G128" t="inlineStr">
        <is>
          <t>BOLLEBYGD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46233</v>
      </c>
      <c r="F129" t="inlineStr">
        <is>
          <t>VÄSTRA GÖTALANDS LÄN</t>
        </is>
      </c>
      <c r="G129" t="inlineStr">
        <is>
          <t>BOLLEBYGD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46233</v>
      </c>
      <c r="F130" t="inlineStr">
        <is>
          <t>VÄSTRA GÖTALANDS LÄN</t>
        </is>
      </c>
      <c r="G130" t="inlineStr">
        <is>
          <t>BOLLEBYGD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12879-2026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46092</v>
      </c>
      <c r="E131" s="1" t="n">
        <v>46233</v>
      </c>
      <c r="F131" t="inlineStr">
        <is>
          <t>VÄSTRA GÖTALANDS LÄN</t>
        </is>
      </c>
      <c r="G131" t="inlineStr">
        <is>
          <t>BOLLEBYGD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46233</v>
      </c>
      <c r="F132" t="inlineStr">
        <is>
          <t>VÄSTRA GÖTALANDS LÄN</t>
        </is>
      </c>
      <c r="G132" t="inlineStr">
        <is>
          <t>BOLLEBYGD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46233</v>
      </c>
      <c r="F133" t="inlineStr">
        <is>
          <t>VÄSTRA GÖTALANDS LÄN</t>
        </is>
      </c>
      <c r="G133" t="inlineStr">
        <is>
          <t>BOLLEBYGD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46233</v>
      </c>
      <c r="F134" t="inlineStr">
        <is>
          <t>VÄSTRA GÖTALANDS LÄN</t>
        </is>
      </c>
      <c r="G134" t="inlineStr">
        <is>
          <t>BOLLEBYGD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46233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46233</v>
      </c>
      <c r="F136" t="inlineStr">
        <is>
          <t>VÄSTRA GÖTALANDS LÄN</t>
        </is>
      </c>
      <c r="G136" t="inlineStr">
        <is>
          <t>BOLLEBYGD</t>
        </is>
      </c>
      <c r="I136" t="n">
        <v>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46233</v>
      </c>
      <c r="F137" t="inlineStr">
        <is>
          <t>VÄSTRA GÖTALANDS LÄN</t>
        </is>
      </c>
      <c r="G137" t="inlineStr">
        <is>
          <t>BOLLEBYGD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46233</v>
      </c>
      <c r="F138" t="inlineStr">
        <is>
          <t>VÄSTRA GÖTALANDS LÄN</t>
        </is>
      </c>
      <c r="G138" t="inlineStr">
        <is>
          <t>BOLLEBYGD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67455-2021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46233</v>
      </c>
      <c r="F139" t="inlineStr">
        <is>
          <t>VÄSTRA GÖTALANDS LÄN</t>
        </is>
      </c>
      <c r="G139" t="inlineStr">
        <is>
          <t>BOLLEBYGD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14111-2026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46233</v>
      </c>
      <c r="F140" t="inlineStr">
        <is>
          <t>VÄSTRA GÖTALANDS LÄN</t>
        </is>
      </c>
      <c r="G140" t="inlineStr">
        <is>
          <t>BOLLEBYGD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46233</v>
      </c>
      <c r="F141" t="inlineStr">
        <is>
          <t>VÄSTRA GÖTALANDS LÄN</t>
        </is>
      </c>
      <c r="G141" t="inlineStr">
        <is>
          <t>BOLLEBYGD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46233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14545-2026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46100</v>
      </c>
      <c r="E143" s="1" t="n">
        <v>46233</v>
      </c>
      <c r="F143" t="inlineStr">
        <is>
          <t>VÄSTRA GÖTALANDS LÄN</t>
        </is>
      </c>
      <c r="G143" t="inlineStr">
        <is>
          <t>BOLLEBYGD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46233</v>
      </c>
      <c r="F144" t="inlineStr">
        <is>
          <t>VÄSTRA GÖTALANDS LÄN</t>
        </is>
      </c>
      <c r="G144" t="inlineStr">
        <is>
          <t>BOLLEBYGD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46233</v>
      </c>
      <c r="F145" t="inlineStr">
        <is>
          <t>VÄSTRA GÖTALANDS LÄN</t>
        </is>
      </c>
      <c r="G145" t="inlineStr">
        <is>
          <t>BOLLEBYGD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46233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58011-2022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46233</v>
      </c>
      <c r="F147" t="inlineStr">
        <is>
          <t>VÄSTRA GÖTALANDS LÄN</t>
        </is>
      </c>
      <c r="G147" t="inlineStr">
        <is>
          <t>BOLLEBYGD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44893</v>
      </c>
      <c r="E148" s="1" t="n">
        <v>46233</v>
      </c>
      <c r="F148" t="inlineStr">
        <is>
          <t>VÄSTRA GÖTALANDS LÄN</t>
        </is>
      </c>
      <c r="G148" t="inlineStr">
        <is>
          <t>BOLLEBYGD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46233</v>
      </c>
      <c r="F149" t="inlineStr">
        <is>
          <t>VÄSTRA GÖTALANDS LÄN</t>
        </is>
      </c>
      <c r="G149" t="inlineStr">
        <is>
          <t>BOLLEBYGD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45763</v>
      </c>
      <c r="E150" s="1" t="n">
        <v>46233</v>
      </c>
      <c r="F150" t="inlineStr">
        <is>
          <t>VÄSTRA GÖTALANDS LÄN</t>
        </is>
      </c>
      <c r="G150" t="inlineStr">
        <is>
          <t>BOLLEBYGD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46233</v>
      </c>
      <c r="F151" t="inlineStr">
        <is>
          <t>VÄSTRA GÖTALANDS LÄN</t>
        </is>
      </c>
      <c r="G151" t="inlineStr">
        <is>
          <t>BOLLEBYGD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46233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46233</v>
      </c>
      <c r="F153" t="inlineStr">
        <is>
          <t>VÄSTRA GÖTALANDS LÄN</t>
        </is>
      </c>
      <c r="G153" t="inlineStr">
        <is>
          <t>BOLLEBYGD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44726</v>
      </c>
      <c r="E154" s="1" t="n">
        <v>46233</v>
      </c>
      <c r="F154" t="inlineStr">
        <is>
          <t>VÄSTRA GÖTALANDS LÄN</t>
        </is>
      </c>
      <c r="G154" t="inlineStr">
        <is>
          <t>BOLLEBYGD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46233</v>
      </c>
      <c r="F155" t="inlineStr">
        <is>
          <t>VÄSTRA GÖTALANDS LÄN</t>
        </is>
      </c>
      <c r="G155" t="inlineStr">
        <is>
          <t>BOLLEBYGD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46233</v>
      </c>
      <c r="F156" t="inlineStr">
        <is>
          <t>VÄSTRA GÖTALANDS LÄN</t>
        </is>
      </c>
      <c r="G156" t="inlineStr">
        <is>
          <t>BOLLEBYGD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46233</v>
      </c>
      <c r="F157" t="inlineStr">
        <is>
          <t>VÄSTRA GÖTALANDS LÄN</t>
        </is>
      </c>
      <c r="G157" t="inlineStr">
        <is>
          <t>BOLLEBYGD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46233</v>
      </c>
      <c r="F158" t="inlineStr">
        <is>
          <t>VÄSTRA GÖTALANDS LÄN</t>
        </is>
      </c>
      <c r="G158" t="inlineStr">
        <is>
          <t>BOLLEBYGD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46233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45308</v>
      </c>
      <c r="E160" s="1" t="n">
        <v>46233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46233</v>
      </c>
      <c r="F161" t="inlineStr">
        <is>
          <t>VÄSTRA GÖTALANDS LÄN</t>
        </is>
      </c>
      <c r="G161" t="inlineStr">
        <is>
          <t>BOLLEBYGD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65118-2023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45288</v>
      </c>
      <c r="E162" s="1" t="n">
        <v>46233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46233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46233</v>
      </c>
      <c r="F164" t="inlineStr">
        <is>
          <t>VÄSTRA GÖTALANDS LÄN</t>
        </is>
      </c>
      <c r="G164" t="inlineStr">
        <is>
          <t>BOLLEBYGD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46233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46233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6745-2023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44966</v>
      </c>
      <c r="E167" s="1" t="n">
        <v>46233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46134</v>
      </c>
      <c r="E168" s="1" t="n">
        <v>46233</v>
      </c>
      <c r="F168" t="inlineStr">
        <is>
          <t>VÄSTRA GÖTALANDS LÄN</t>
        </is>
      </c>
      <c r="G168" t="inlineStr">
        <is>
          <t>BOLLEBYGD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46233</v>
      </c>
      <c r="F169" t="inlineStr">
        <is>
          <t>VÄSTRA GÖTALANDS LÄN</t>
        </is>
      </c>
      <c r="G169" t="inlineStr">
        <is>
          <t>BOLLEBYGD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46233</v>
      </c>
      <c r="F170" t="inlineStr">
        <is>
          <t>VÄSTRA GÖTALANDS LÄN</t>
        </is>
      </c>
      <c r="G170" t="inlineStr">
        <is>
          <t>BOLLEBYGD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45696</v>
      </c>
      <c r="E171" s="1" t="n">
        <v>46233</v>
      </c>
      <c r="F171" t="inlineStr">
        <is>
          <t>VÄSTRA GÖTALANDS LÄN</t>
        </is>
      </c>
      <c r="G171" t="inlineStr">
        <is>
          <t>BOLLEBYGD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46233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42157-2021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44426</v>
      </c>
      <c r="E173" s="1" t="n">
        <v>46233</v>
      </c>
      <c r="F173" t="inlineStr">
        <is>
          <t>VÄSTRA GÖTALANDS LÄN</t>
        </is>
      </c>
      <c r="G173" t="inlineStr">
        <is>
          <t>BOLLEBYGD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46233</v>
      </c>
      <c r="F174" t="inlineStr">
        <is>
          <t>VÄSTRA GÖTALANDS LÄN</t>
        </is>
      </c>
      <c r="G174" t="inlineStr">
        <is>
          <t>BOLLEBYGD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46233</v>
      </c>
      <c r="F175" t="inlineStr">
        <is>
          <t>VÄSTRA GÖTALANDS LÄN</t>
        </is>
      </c>
      <c r="G175" t="inlineStr">
        <is>
          <t>BOLLEBYGD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46233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46233</v>
      </c>
      <c r="F177" t="inlineStr">
        <is>
          <t>VÄSTRA GÖTALANDS LÄN</t>
        </is>
      </c>
      <c r="G177" t="inlineStr">
        <is>
          <t>BOLLEBYGD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46233</v>
      </c>
      <c r="F178" t="inlineStr">
        <is>
          <t>VÄSTRA GÖTALANDS LÄN</t>
        </is>
      </c>
      <c r="G178" t="inlineStr">
        <is>
          <t>BOLLEBYGD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36131-2024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45534</v>
      </c>
      <c r="E179" s="1" t="n">
        <v>46233</v>
      </c>
      <c r="F179" t="inlineStr">
        <is>
          <t>VÄSTRA GÖTALANDS LÄN</t>
        </is>
      </c>
      <c r="G179" t="inlineStr">
        <is>
          <t>BOLLEBYGD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46233</v>
      </c>
      <c r="F180" t="inlineStr">
        <is>
          <t>VÄSTRA GÖTALANDS LÄN</t>
        </is>
      </c>
      <c r="G180" t="inlineStr">
        <is>
          <t>BOLLEBYGD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46233</v>
      </c>
      <c r="F181" t="inlineStr">
        <is>
          <t>VÄSTRA GÖTALANDS LÄN</t>
        </is>
      </c>
      <c r="G181" t="inlineStr">
        <is>
          <t>BOLLEBYGD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46233</v>
      </c>
      <c r="F182" t="inlineStr">
        <is>
          <t>VÄSTRA GÖTALANDS LÄN</t>
        </is>
      </c>
      <c r="G182" t="inlineStr">
        <is>
          <t>BOLLEBYGD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46233</v>
      </c>
      <c r="F183" t="inlineStr">
        <is>
          <t>VÄSTRA GÖTALANDS LÄN</t>
        </is>
      </c>
      <c r="G183" t="inlineStr">
        <is>
          <t>BOLLEBYGD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46233</v>
      </c>
      <c r="F184" t="inlineStr">
        <is>
          <t>VÄSTRA GÖTALANDS LÄN</t>
        </is>
      </c>
      <c r="G184" t="inlineStr">
        <is>
          <t>BOLLEBYGD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46233</v>
      </c>
      <c r="F185" t="inlineStr">
        <is>
          <t>VÄSTRA GÖTALANDS LÄN</t>
        </is>
      </c>
      <c r="G185" t="inlineStr">
        <is>
          <t>BOLLEBYGD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46233</v>
      </c>
      <c r="F186" t="inlineStr">
        <is>
          <t>VÄSTRA GÖTALANDS LÄN</t>
        </is>
      </c>
      <c r="G186" t="inlineStr">
        <is>
          <t>BOLLEBYGD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6653-2022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44602</v>
      </c>
      <c r="E187" s="1" t="n">
        <v>46233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46233</v>
      </c>
      <c r="F188" t="inlineStr">
        <is>
          <t>VÄSTRA GÖTALANDS LÄN</t>
        </is>
      </c>
      <c r="G188" t="inlineStr">
        <is>
          <t>BOLLEBYGD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45803</v>
      </c>
      <c r="E189" s="1" t="n">
        <v>46233</v>
      </c>
      <c r="F189" t="inlineStr">
        <is>
          <t>VÄSTRA GÖTALANDS LÄN</t>
        </is>
      </c>
      <c r="G189" t="inlineStr">
        <is>
          <t>BOLLEBYGD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46141</v>
      </c>
      <c r="E190" s="1" t="n">
        <v>46233</v>
      </c>
      <c r="F190" t="inlineStr">
        <is>
          <t>VÄSTRA GÖTALANDS LÄN</t>
        </is>
      </c>
      <c r="G190" t="inlineStr">
        <is>
          <t>BOLLEBYGD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46233</v>
      </c>
      <c r="F191" t="inlineStr">
        <is>
          <t>VÄSTRA GÖTALANDS LÄN</t>
        </is>
      </c>
      <c r="G191" t="inlineStr">
        <is>
          <t>BOLLEBYGD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46233</v>
      </c>
      <c r="F192" t="inlineStr">
        <is>
          <t>VÄSTRA GÖTALANDS LÄN</t>
        </is>
      </c>
      <c r="G192" t="inlineStr">
        <is>
          <t>BOLLEBYGD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44683</v>
      </c>
      <c r="E193" s="1" t="n">
        <v>46233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21751-2022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44708</v>
      </c>
      <c r="E194" s="1" t="n">
        <v>46233</v>
      </c>
      <c r="F194" t="inlineStr">
        <is>
          <t>VÄSTRA GÖTALANDS LÄN</t>
        </is>
      </c>
      <c r="G194" t="inlineStr">
        <is>
          <t>BOLLEBYGD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46233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46233</v>
      </c>
      <c r="F196" t="inlineStr">
        <is>
          <t>VÄSTRA GÖTALANDS LÄN</t>
        </is>
      </c>
      <c r="G196" t="inlineStr">
        <is>
          <t>BOLLEBYGD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45561</v>
      </c>
      <c r="E197" s="1" t="n">
        <v>46233</v>
      </c>
      <c r="F197" t="inlineStr">
        <is>
          <t>VÄSTRA GÖTALANDS LÄN</t>
        </is>
      </c>
      <c r="G197" t="inlineStr">
        <is>
          <t>BOLLEBYGD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46233</v>
      </c>
      <c r="F198" t="inlineStr">
        <is>
          <t>VÄSTRA GÖTALANDS LÄN</t>
        </is>
      </c>
      <c r="G198" t="inlineStr">
        <is>
          <t>BOLLEBYGD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46233</v>
      </c>
      <c r="F199" t="inlineStr">
        <is>
          <t>VÄSTRA GÖTALANDS LÄN</t>
        </is>
      </c>
      <c r="G199" t="inlineStr">
        <is>
          <t>BOLLEBYGD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46233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46233</v>
      </c>
      <c r="F201" t="inlineStr">
        <is>
          <t>VÄSTRA GÖTALANDS LÄN</t>
        </is>
      </c>
      <c r="G201" t="inlineStr">
        <is>
          <t>BOLLEBYGD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46233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46233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44449</v>
      </c>
      <c r="E204" s="1" t="n">
        <v>46233</v>
      </c>
      <c r="F204" t="inlineStr">
        <is>
          <t>VÄSTRA GÖTALANDS LÄN</t>
        </is>
      </c>
      <c r="G204" t="inlineStr">
        <is>
          <t>BOLLEBYGD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54144-2022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44881</v>
      </c>
      <c r="E205" s="1" t="n">
        <v>46233</v>
      </c>
      <c r="F205" t="inlineStr">
        <is>
          <t>VÄSTRA GÖTALANDS LÄN</t>
        </is>
      </c>
      <c r="G205" t="inlineStr">
        <is>
          <t>BOLLEBYGD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45308</v>
      </c>
      <c r="E206" s="1" t="n">
        <v>46233</v>
      </c>
      <c r="F206" t="inlineStr">
        <is>
          <t>VÄSTRA GÖTALANDS LÄN</t>
        </is>
      </c>
      <c r="G206" t="inlineStr">
        <is>
          <t>BOLLEBYGD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46233</v>
      </c>
      <c r="F207" t="inlineStr">
        <is>
          <t>VÄSTRA GÖTALANDS LÄN</t>
        </is>
      </c>
      <c r="G207" t="inlineStr">
        <is>
          <t>BOLLEBYGD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46233</v>
      </c>
      <c r="F208" t="inlineStr">
        <is>
          <t>VÄSTRA GÖTALANDS LÄN</t>
        </is>
      </c>
      <c r="G208" t="inlineStr">
        <is>
          <t>BOLLEBYGD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46233</v>
      </c>
      <c r="F209" t="inlineStr">
        <is>
          <t>VÄSTRA GÖTALANDS LÄN</t>
        </is>
      </c>
      <c r="G209" t="inlineStr">
        <is>
          <t>BOLLEBYGD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46233</v>
      </c>
      <c r="F210" t="inlineStr">
        <is>
          <t>VÄSTRA GÖTALANDS LÄN</t>
        </is>
      </c>
      <c r="G210" t="inlineStr">
        <is>
          <t>BOLLEBYGD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46233</v>
      </c>
      <c r="F211" t="inlineStr">
        <is>
          <t>VÄSTRA GÖTALANDS LÄN</t>
        </is>
      </c>
      <c r="G211" t="inlineStr">
        <is>
          <t>BOLLEBYGD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46233</v>
      </c>
      <c r="F212" t="inlineStr">
        <is>
          <t>VÄSTRA GÖTALANDS LÄN</t>
        </is>
      </c>
      <c r="G212" t="inlineStr">
        <is>
          <t>BOLLEBYGD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46233</v>
      </c>
      <c r="F213" t="inlineStr">
        <is>
          <t>VÄSTRA GÖTALANDS LÄN</t>
        </is>
      </c>
      <c r="G213" t="inlineStr">
        <is>
          <t>BOLLEBYGD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46233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46233</v>
      </c>
      <c r="F215" t="inlineStr">
        <is>
          <t>VÄSTRA GÖTALANDS LÄN</t>
        </is>
      </c>
      <c r="G215" t="inlineStr">
        <is>
          <t>BOLLEBYGD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46233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45276</v>
      </c>
      <c r="E217" s="1" t="n">
        <v>46233</v>
      </c>
      <c r="F217" t="inlineStr">
        <is>
          <t>VÄSTRA GÖTALANDS LÄN</t>
        </is>
      </c>
      <c r="G217" t="inlineStr">
        <is>
          <t>BOLLEBYGD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44981</v>
      </c>
      <c r="E218" s="1" t="n">
        <v>46233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46233</v>
      </c>
      <c r="F219" t="inlineStr">
        <is>
          <t>VÄSTRA GÖTALANDS LÄN</t>
        </is>
      </c>
      <c r="G219" t="inlineStr">
        <is>
          <t>BOLLEBYGD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46233</v>
      </c>
      <c r="F220" t="inlineStr">
        <is>
          <t>VÄSTRA GÖTALANDS LÄN</t>
        </is>
      </c>
      <c r="G220" t="inlineStr">
        <is>
          <t>BOLLEBYGD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46233</v>
      </c>
      <c r="F221" t="inlineStr">
        <is>
          <t>VÄSTRA GÖTALANDS LÄN</t>
        </is>
      </c>
      <c r="G221" t="inlineStr">
        <is>
          <t>BOLLEBYGD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46233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Kommuner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46233</v>
      </c>
      <c r="F223" t="inlineStr">
        <is>
          <t>VÄSTRA GÖTALANDS LÄN</t>
        </is>
      </c>
      <c r="G223" t="inlineStr">
        <is>
          <t>BOLLEBYGD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46233</v>
      </c>
      <c r="F224" t="inlineStr">
        <is>
          <t>VÄSTRA GÖTALANDS LÄN</t>
        </is>
      </c>
      <c r="G224" t="inlineStr">
        <is>
          <t>BOLLEBYGD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46233</v>
      </c>
      <c r="F225" t="inlineStr">
        <is>
          <t>VÄSTRA GÖTALANDS LÄN</t>
        </is>
      </c>
      <c r="G225" t="inlineStr">
        <is>
          <t>BOLLEBYGD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46233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46233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46231</v>
      </c>
      <c r="E228" s="1" t="n">
        <v>46233</v>
      </c>
      <c r="F228" t="inlineStr">
        <is>
          <t>VÄSTRA GÖTALANDS LÄN</t>
        </is>
      </c>
      <c r="G228" t="inlineStr">
        <is>
          <t>BOLLEBYGD</t>
        </is>
      </c>
      <c r="H228" t="inlineStr">
        <is>
          <t>Kyrkan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46233</v>
      </c>
      <c r="F229" t="inlineStr">
        <is>
          <t>VÄSTRA GÖTALANDS LÄN</t>
        </is>
      </c>
      <c r="G229" t="inlineStr">
        <is>
          <t>BOLLEBYGD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46233</v>
      </c>
      <c r="F230" t="inlineStr">
        <is>
          <t>VÄSTRA GÖTALANDS LÄN</t>
        </is>
      </c>
      <c r="G230" t="inlineStr">
        <is>
          <t>BOLLEBYGD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46233</v>
      </c>
      <c r="F231" t="inlineStr">
        <is>
          <t>VÄSTRA GÖTALANDS LÄN</t>
        </is>
      </c>
      <c r="G231" t="inlineStr">
        <is>
          <t>BOLLEBYGD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45248</v>
      </c>
      <c r="E232" s="1" t="n">
        <v>46233</v>
      </c>
      <c r="F232" t="inlineStr">
        <is>
          <t>VÄSTRA GÖTALANDS LÄN</t>
        </is>
      </c>
      <c r="G232" t="inlineStr">
        <is>
          <t>BOLLEBYGD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44510</v>
      </c>
      <c r="E233" s="1" t="n">
        <v>46233</v>
      </c>
      <c r="F233" t="inlineStr">
        <is>
          <t>VÄSTRA GÖTALANDS LÄN</t>
        </is>
      </c>
      <c r="G233" t="inlineStr">
        <is>
          <t>BOLLEBYGD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45471</v>
      </c>
      <c r="E234" s="1" t="n">
        <v>46233</v>
      </c>
      <c r="F234" t="inlineStr">
        <is>
          <t>VÄSTRA GÖTALANDS LÄN</t>
        </is>
      </c>
      <c r="G234" t="inlineStr">
        <is>
          <t>BOLLEBYGD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46233</v>
      </c>
      <c r="F235" t="inlineStr">
        <is>
          <t>VÄSTRA GÖTALANDS LÄN</t>
        </is>
      </c>
      <c r="G235" t="inlineStr">
        <is>
          <t>BOLLEBYGD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46233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45455</v>
      </c>
      <c r="E237" s="1" t="n">
        <v>46233</v>
      </c>
      <c r="F237" t="inlineStr">
        <is>
          <t>VÄSTRA GÖTALANDS LÄN</t>
        </is>
      </c>
      <c r="G237" t="inlineStr">
        <is>
          <t>BOLLEBYGD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46233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46233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46233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2026-07-30T01:54:07Z</dcterms:created>
  <dcterms:modified xmlns:dcterms="http://purl.org/dc/terms/" xmlns:xsi="http://www.w3.org/2001/XMLSchema-instance" xsi:type="dcterms:W3CDTF">2026-07-30T01:54:07Z</dcterms:modified>
</cp:coreProperties>
</file>