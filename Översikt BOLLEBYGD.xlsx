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46269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46269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46269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46269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46269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46269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46269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46269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46269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46269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46269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46269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46269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46269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Kungsfågel
Ärtsångare</t>
        </is>
      </c>
      <c r="W15">
        <f>HYPERLINK("https://klasma.github.io/Logging_1443/artfynd/A 30792-2023 artfynd.xlsx", "A 30792-2023")</f>
        <v/>
      </c>
      <c r="X15">
        <f>HYPERLINK("https://klasma.github.io/Logging_1443/kartor/A 30792-2023 karta.png", "A 30792-2023")</f>
        <v/>
      </c>
      <c r="Y15">
        <f>HYPERLINK("https://klasma.github.io/Logging_1443/kartor_geotiff/A 30792-2023 georefererad karta.tif", "A 30792-2023")</f>
        <v/>
      </c>
      <c r="AA15">
        <f>HYPERLINK("https://klasma.github.io/Logging_1443/klagomål/A 30792-2023 FSC-klagomål.docx", "A 30792-2023")</f>
        <v/>
      </c>
      <c r="AB15">
        <f>HYPERLINK("https://klasma.github.io/Logging_1443/klagomålsmail/A 30792-2023 FSC-klagomål mail.docx", "A 30792-2023")</f>
        <v/>
      </c>
      <c r="AC15">
        <f>HYPERLINK("https://klasma.github.io/Logging_1443/tillsyn/A 30792-2023 tillsynsbegäran.docx", "A 30792-2023")</f>
        <v/>
      </c>
      <c r="AD15">
        <f>HYPERLINK("https://klasma.github.io/Logging_1443/tillsynsmail/A 30792-2023 tillsynsbegäran mail.docx", "A 30792-2023")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46269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46269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26670-2026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46269</v>
      </c>
      <c r="F18" t="inlineStr">
        <is>
          <t>VÄSTRA GÖTALANDS LÄN</t>
        </is>
      </c>
      <c r="G18" t="inlineStr">
        <is>
          <t>BOLLEBYGD</t>
        </is>
      </c>
      <c r="I18" t="n">
        <v>15.4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Tofsmes
Grönsiska</t>
        </is>
      </c>
      <c r="W18">
        <f>HYPERLINK("https://klasma.github.io/Logging_1443/artfynd/A 26670-2026 artfynd.xlsx", "A 26670-2026")</f>
        <v/>
      </c>
      <c r="X18">
        <f>HYPERLINK("https://klasma.github.io/Logging_1443/kartor/A 26670-2026 karta.png", "A 26670-2026")</f>
        <v/>
      </c>
      <c r="Y18">
        <f>HYPERLINK("https://klasma.github.io/Logging_1443/kartor_geotiff/A 26670-2026 georefererad karta.tif", "A 26670-2026")</f>
        <v/>
      </c>
      <c r="AA18">
        <f>HYPERLINK("https://klasma.github.io/Logging_1443/klagomål/A 26670-2026 FSC-klagomål.docx", "A 26670-2026")</f>
        <v/>
      </c>
      <c r="AB18">
        <f>HYPERLINK("https://klasma.github.io/Logging_1443/klagomålsmail/A 26670-2026 FSC-klagomål mail.docx", "A 26670-2026")</f>
        <v/>
      </c>
      <c r="AC18">
        <f>HYPERLINK("https://klasma.github.io/Logging_1443/tillsyn/A 26670-2026 tillsynsbegäran.docx", "A 26670-2026")</f>
        <v/>
      </c>
      <c r="AD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46269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13115-2026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46269</v>
      </c>
      <c r="F20" t="inlineStr">
        <is>
          <t>VÄSTRA GÖTALANDS LÄN</t>
        </is>
      </c>
      <c r="G20" t="inlineStr">
        <is>
          <t>BOLLEBYGD</t>
        </is>
      </c>
      <c r="I20" t="n">
        <v>6.5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Mattlummer
Fläcknycklar</t>
        </is>
      </c>
      <c r="W20">
        <f>HYPERLINK("https://klasma.github.io/Logging_1443/artfynd/A 13115-2026 artfynd.xlsx", "A 13115-2026")</f>
        <v/>
      </c>
      <c r="X20">
        <f>HYPERLINK("https://klasma.github.io/Logging_1443/kartor/A 13115-2026 karta.png", "A 13115-2026")</f>
        <v/>
      </c>
      <c r="Y20">
        <f>HYPERLINK("https://klasma.github.io/Logging_1443/kartor_geotiff/A 13115-2026 georefererad karta.tif", "A 13115-2026")</f>
        <v/>
      </c>
      <c r="AA20">
        <f>HYPERLINK("https://klasma.github.io/Logging_1443/klagomål/A 13115-2026 FSC-klagomål.docx", "A 13115-2026")</f>
        <v/>
      </c>
      <c r="AB20">
        <f>HYPERLINK("https://klasma.github.io/Logging_1443/klagomålsmail/A 13115-2026 FSC-klagomål mail.docx", "A 13115-2026")</f>
        <v/>
      </c>
      <c r="AC20">
        <f>HYPERLINK("https://klasma.github.io/Logging_1443/tillsyn/A 13115-2026 tillsynsbegäran.docx", "A 13115-2026")</f>
        <v/>
      </c>
      <c r="AD20">
        <f>HYPERLINK("https://klasma.github.io/Logging_1443/tillsynsmail/A 13115-2026 tillsynsbegäran mail.docx", "A 13115-2026")</f>
        <v/>
      </c>
    </row>
    <row r="21" ht="15" customHeight="1">
      <c r="A21" t="inlineStr">
        <is>
          <t>A 30745-2023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46269</v>
      </c>
      <c r="F21" t="inlineStr">
        <is>
          <t>VÄSTRA GÖTALANDS LÄN</t>
        </is>
      </c>
      <c r="G21" t="inlineStr">
        <is>
          <t>BOLLEBYGD</t>
        </is>
      </c>
      <c r="I21" t="n">
        <v>3.9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30745-2023 artfynd.xlsx", "A 30745-2023")</f>
        <v/>
      </c>
      <c r="X21">
        <f>HYPERLINK("https://klasma.github.io/Logging_1443/kartor/A 30745-2023 karta.png", "A 30745-2023")</f>
        <v/>
      </c>
      <c r="Y21">
        <f>HYPERLINK("https://klasma.github.io/Logging_1443/kartor_geotiff/A 30745-2023 georefererad karta.tif", "A 30745-2023")</f>
        <v/>
      </c>
      <c r="AA21">
        <f>HYPERLINK("https://klasma.github.io/Logging_1443/klagomål/A 30745-2023 FSC-klagomål.docx", "A 30745-2023")</f>
        <v/>
      </c>
      <c r="AB21">
        <f>HYPERLINK("https://klasma.github.io/Logging_1443/klagomålsmail/A 30745-2023 FSC-klagomål mail.docx", "A 30745-2023")</f>
        <v/>
      </c>
      <c r="AC21">
        <f>HYPERLINK("https://klasma.github.io/Logging_1443/tillsyn/A 30745-2023 tillsynsbegäran.docx", "A 30745-2023")</f>
        <v/>
      </c>
      <c r="AD21">
        <f>HYPERLINK("https://klasma.github.io/Logging_1443/tillsynsmail/A 30745-2023 tillsynsbegäran mail.docx", "A 30745-2023")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46269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46269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46269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30662-2023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46269</v>
      </c>
      <c r="F25" t="inlineStr">
        <is>
          <t>VÄSTRA GÖTALANDS LÄN</t>
        </is>
      </c>
      <c r="G25" t="inlineStr">
        <is>
          <t>BOLLEBYGD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Svartvit flugsnappare</t>
        </is>
      </c>
      <c r="W25">
        <f>HYPERLINK("https://klasma.github.io/Logging_1443/artfynd/A 30662-2023 artfynd.xlsx", "A 30662-2023")</f>
        <v/>
      </c>
      <c r="X25">
        <f>HYPERLINK("https://klasma.github.io/Logging_1443/kartor/A 30662-2023 karta.png", "A 30662-2023")</f>
        <v/>
      </c>
      <c r="Y25">
        <f>HYPERLINK("https://klasma.github.io/Logging_1443/kartor_geotiff/A 30662-2023 georefererad karta.tif", "A 30662-2023")</f>
        <v/>
      </c>
      <c r="AA25">
        <f>HYPERLINK("https://klasma.github.io/Logging_1443/klagomål/A 30662-2023 FSC-klagomål.docx", "A 30662-2023")</f>
        <v/>
      </c>
      <c r="AB25">
        <f>HYPERLINK("https://klasma.github.io/Logging_1443/klagomålsmail/A 30662-2023 FSC-klagomål mail.docx", "A 30662-2023")</f>
        <v/>
      </c>
      <c r="AC25">
        <f>HYPERLINK("https://klasma.github.io/Logging_1443/tillsyn/A 30662-2023 tillsynsbegäran.docx", "A 30662-2023")</f>
        <v/>
      </c>
      <c r="AD25">
        <f>HYPERLINK("https://klasma.github.io/Logging_1443/tillsynsmail/A 30662-2023 tillsynsbegäran mail.docx", "A 30662-2023")</f>
        <v/>
      </c>
    </row>
    <row r="26" ht="15" customHeight="1">
      <c r="A26" t="inlineStr">
        <is>
          <t>A 30754-2023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46269</v>
      </c>
      <c r="F26" t="inlineStr">
        <is>
          <t>VÄSTRA GÖTALANDS LÄN</t>
        </is>
      </c>
      <c r="G26" t="inlineStr">
        <is>
          <t>BOLLEBYGD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HYPERLINK("https://klasma.github.io/Logging_1443/artfynd/A 30754-2023 artfynd.xlsx", "A 30754-2023")</f>
        <v/>
      </c>
      <c r="X26">
        <f>HYPERLINK("https://klasma.github.io/Logging_1443/kartor/A 30754-2023 karta.png", "A 30754-2023")</f>
        <v/>
      </c>
      <c r="Y26">
        <f>HYPERLINK("https://klasma.github.io/Logging_1443/kartor_geotiff/A 30754-2023 georefererad karta.tif", "A 30754-2023")</f>
        <v/>
      </c>
      <c r="AA26">
        <f>HYPERLINK("https://klasma.github.io/Logging_1443/klagomål/A 30754-2023 FSC-klagomål.docx", "A 30754-2023")</f>
        <v/>
      </c>
      <c r="AB26">
        <f>HYPERLINK("https://klasma.github.io/Logging_1443/klagomålsmail/A 30754-2023 FSC-klagomål mail.docx", "A 30754-2023")</f>
        <v/>
      </c>
      <c r="AC26">
        <f>HYPERLINK("https://klasma.github.io/Logging_1443/tillsyn/A 30754-2023 tillsynsbegäran.docx", "A 30754-2023")</f>
        <v/>
      </c>
      <c r="AD26">
        <f>HYPERLINK("https://klasma.github.io/Logging_1443/tillsynsmail/A 30754-2023 tillsynsbegäran mail.docx", "A 30754-2023")</f>
        <v/>
      </c>
    </row>
    <row r="27" ht="15" customHeight="1">
      <c r="A27" t="inlineStr">
        <is>
          <t>A 7339-2025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45703</v>
      </c>
      <c r="E27" s="1" t="n">
        <v>46269</v>
      </c>
      <c r="F27" t="inlineStr">
        <is>
          <t>VÄSTRA GÖTALANDS LÄN</t>
        </is>
      </c>
      <c r="G27" t="inlineStr">
        <is>
          <t>BOLLEBYGD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7339-2025 artfynd.xlsx", "A 7339-2025")</f>
        <v/>
      </c>
      <c r="X27">
        <f>HYPERLINK("https://klasma.github.io/Logging_1443/kartor/A 7339-2025 karta.png", "A 7339-2025")</f>
        <v/>
      </c>
      <c r="Y27">
        <f>HYPERLINK("https://klasma.github.io/Logging_1443/kartor_geotiff/A 7339-2025 georefererad karta.tif", "A 7339-2025")</f>
        <v/>
      </c>
      <c r="AA27">
        <f>HYPERLINK("https://klasma.github.io/Logging_1443/klagomål/A 7339-2025 FSC-klagomål.docx", "A 7339-2025")</f>
        <v/>
      </c>
      <c r="AB27">
        <f>HYPERLINK("https://klasma.github.io/Logging_1443/klagomålsmail/A 7339-2025 FSC-klagomål mail.docx", "A 7339-2025")</f>
        <v/>
      </c>
      <c r="AC27">
        <f>HYPERLINK("https://klasma.github.io/Logging_1443/tillsyn/A 7339-2025 tillsynsbegäran.docx", "A 7339-2025")</f>
        <v/>
      </c>
      <c r="AD27">
        <f>HYPERLINK("https://klasma.github.io/Logging_1443/tillsynsmail/A 7339-2025 tillsynsbegäran mail.docx", "A 7339-2025")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46269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35491-2023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46269</v>
      </c>
      <c r="F29" t="inlineStr">
        <is>
          <t>VÄSTRA GÖTALANDS LÄN</t>
        </is>
      </c>
      <c r="G29" t="inlineStr">
        <is>
          <t>BOLLEBYGD</t>
        </is>
      </c>
      <c r="I29" t="n">
        <v>3.5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HYPERLINK("https://klasma.github.io/Logging_1443/artfynd/A 35491-2023 artfynd.xlsx", "A 35491-2023")</f>
        <v/>
      </c>
      <c r="X29">
        <f>HYPERLINK("https://klasma.github.io/Logging_1443/kartor/A 35491-2023 karta.png", "A 35491-2023")</f>
        <v/>
      </c>
      <c r="Y29">
        <f>HYPERLINK("https://klasma.github.io/Logging_1443/kartor_geotiff/A 35491-2023 georefererad karta.tif", "A 35491-2023")</f>
        <v/>
      </c>
      <c r="Z29">
        <f>HYPERLINK("https://klasma.github.io/Logging_1443/knärot/A 35491-2023 karta knärot.png", "A 35491-2023")</f>
        <v/>
      </c>
      <c r="AA29">
        <f>HYPERLINK("https://klasma.github.io/Logging_1443/klagomål/A 35491-2023 FSC-klagomål.docx", "A 35491-2023")</f>
        <v/>
      </c>
      <c r="AB29">
        <f>HYPERLINK("https://klasma.github.io/Logging_1443/klagomålsmail/A 35491-2023 FSC-klagomål mail.docx", "A 35491-2023")</f>
        <v/>
      </c>
      <c r="AC29">
        <f>HYPERLINK("https://klasma.github.io/Logging_1443/tillsyn/A 35491-2023 tillsynsbegäran.docx", "A 35491-2023")</f>
        <v/>
      </c>
      <c r="AD29">
        <f>HYPERLINK("https://klasma.github.io/Logging_1443/tillsynsmail/A 35491-2023 tillsynsbegäran mail.docx", "A 35491-2023")</f>
        <v/>
      </c>
    </row>
    <row r="30" ht="15" customHeight="1">
      <c r="A30" t="inlineStr">
        <is>
          <t>A 18822-2026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46128</v>
      </c>
      <c r="E30" s="1" t="n">
        <v>46269</v>
      </c>
      <c r="F30" t="inlineStr">
        <is>
          <t>VÄSTRA GÖTALANDS LÄN</t>
        </is>
      </c>
      <c r="G30" t="inlineStr">
        <is>
          <t>BOLLEBYGD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HYPERLINK("https://klasma.github.io/Logging_1443/artfynd/A 18822-2026 artfynd.xlsx", "A 18822-2026")</f>
        <v/>
      </c>
      <c r="X30">
        <f>HYPERLINK("https://klasma.github.io/Logging_1443/kartor/A 18822-2026 karta.png", "A 18822-2026")</f>
        <v/>
      </c>
      <c r="Y30">
        <f>HYPERLINK("https://klasma.github.io/Logging_1443/kartor_geotiff/A 18822-2026 georefererad karta.tif", "A 18822-2026")</f>
        <v/>
      </c>
      <c r="AA30">
        <f>HYPERLINK("https://klasma.github.io/Logging_1443/klagomål/A 18822-2026 FSC-klagomål.docx", "A 18822-2026")</f>
        <v/>
      </c>
      <c r="AB30">
        <f>HYPERLINK("https://klasma.github.io/Logging_1443/klagomålsmail/A 18822-2026 FSC-klagomål mail.docx", "A 18822-2026")</f>
        <v/>
      </c>
      <c r="AC30">
        <f>HYPERLINK("https://klasma.github.io/Logging_1443/tillsyn/A 18822-2026 tillsynsbegäran.docx", "A 18822-2026")</f>
        <v/>
      </c>
      <c r="AD30">
        <f>HYPERLINK("https://klasma.github.io/Logging_1443/tillsynsmail/A 18822-2026 tillsynsbegäran mail.docx", "A 18822-2026")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46269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46269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46269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46269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46269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46269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46269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46269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15112-2022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44658</v>
      </c>
      <c r="E40" s="1" t="n">
        <v>46269</v>
      </c>
      <c r="F40" t="inlineStr">
        <is>
          <t>VÄSTRA GÖTALANDS LÄN</t>
        </is>
      </c>
      <c r="G40" t="inlineStr">
        <is>
          <t>BOLLEBYGD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44946</v>
      </c>
      <c r="E41" s="1" t="n">
        <v>46269</v>
      </c>
      <c r="F41" t="inlineStr">
        <is>
          <t>VÄSTRA GÖTALANDS LÄN</t>
        </is>
      </c>
      <c r="G41" t="inlineStr">
        <is>
          <t>BOLLEBYGD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44449</v>
      </c>
      <c r="E42" s="1" t="n">
        <v>46269</v>
      </c>
      <c r="F42" t="inlineStr">
        <is>
          <t>VÄSTRA GÖTALANDS LÄN</t>
        </is>
      </c>
      <c r="G42" t="inlineStr">
        <is>
          <t>BOLLEBYGD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59472-2023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45254</v>
      </c>
      <c r="E43" s="1" t="n">
        <v>46269</v>
      </c>
      <c r="F43" t="inlineStr">
        <is>
          <t>VÄSTRA GÖTALANDS LÄN</t>
        </is>
      </c>
      <c r="G43" t="inlineStr">
        <is>
          <t>BOLLEBYGD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46269</v>
      </c>
      <c r="F44" t="inlineStr">
        <is>
          <t>VÄSTRA GÖTALANDS LÄN</t>
        </is>
      </c>
      <c r="G44" t="inlineStr">
        <is>
          <t>BOLLEBYGD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69413-2021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44531</v>
      </c>
      <c r="E45" s="1" t="n">
        <v>46269</v>
      </c>
      <c r="F45" t="inlineStr">
        <is>
          <t>VÄSTRA GÖTALANDS LÄN</t>
        </is>
      </c>
      <c r="G45" t="inlineStr">
        <is>
          <t>BOLLEBYGD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46269</v>
      </c>
      <c r="F46" t="inlineStr">
        <is>
          <t>VÄSTRA GÖTALANDS LÄN</t>
        </is>
      </c>
      <c r="G46" t="inlineStr">
        <is>
          <t>BOLLEBYGD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9530-2023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44981</v>
      </c>
      <c r="E47" s="1" t="n">
        <v>46269</v>
      </c>
      <c r="F47" t="inlineStr">
        <is>
          <t>VÄSTRA GÖTALANDS LÄN</t>
        </is>
      </c>
      <c r="G47" t="inlineStr">
        <is>
          <t>BOLLEBYGD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12160-2024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45377</v>
      </c>
      <c r="E48" s="1" t="n">
        <v>46269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22443-2023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45070</v>
      </c>
      <c r="E49" s="1" t="n">
        <v>46269</v>
      </c>
      <c r="F49" t="inlineStr">
        <is>
          <t>VÄSTRA GÖTALANDS LÄN</t>
        </is>
      </c>
      <c r="G49" t="inlineStr">
        <is>
          <t>BOLLEBYGD</t>
        </is>
      </c>
      <c r="I49" t="n">
        <v>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46269</v>
      </c>
      <c r="F50" t="inlineStr">
        <is>
          <t>VÄSTRA GÖTALANDS LÄN</t>
        </is>
      </c>
      <c r="G50" t="inlineStr">
        <is>
          <t>BOLLEBYGD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50057-2023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46269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45572</v>
      </c>
      <c r="E52" s="1" t="n">
        <v>46269</v>
      </c>
      <c r="F52" t="inlineStr">
        <is>
          <t>VÄSTRA GÖTALANDS LÄN</t>
        </is>
      </c>
      <c r="G52" t="inlineStr">
        <is>
          <t>BOLLEBYGD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46269</v>
      </c>
      <c r="F53" t="inlineStr">
        <is>
          <t>VÄSTRA GÖTALANDS LÄN</t>
        </is>
      </c>
      <c r="G53" t="inlineStr">
        <is>
          <t>BOLLEBYGD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46269</v>
      </c>
      <c r="F54" t="inlineStr">
        <is>
          <t>VÄSTRA GÖTALANDS LÄN</t>
        </is>
      </c>
      <c r="G54" t="inlineStr">
        <is>
          <t>BOLLEBYGD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56331-2024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45624</v>
      </c>
      <c r="E55" s="1" t="n">
        <v>46269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45112</v>
      </c>
      <c r="E56" s="1" t="n">
        <v>46269</v>
      </c>
      <c r="F56" t="inlineStr">
        <is>
          <t>VÄSTRA GÖTALANDS LÄN</t>
        </is>
      </c>
      <c r="G56" t="inlineStr">
        <is>
          <t>BOLLEBYGD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44914</v>
      </c>
      <c r="E57" s="1" t="n">
        <v>46269</v>
      </c>
      <c r="F57" t="inlineStr">
        <is>
          <t>VÄSTRA GÖTALANDS LÄN</t>
        </is>
      </c>
      <c r="G57" t="inlineStr">
        <is>
          <t>BOLLEBYGD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45359</v>
      </c>
      <c r="E58" s="1" t="n">
        <v>46269</v>
      </c>
      <c r="F58" t="inlineStr">
        <is>
          <t>VÄSTRA GÖTALANDS LÄN</t>
        </is>
      </c>
      <c r="G58" t="inlineStr">
        <is>
          <t>BOLLEBYGD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45604</v>
      </c>
      <c r="E59" s="1" t="n">
        <v>46269</v>
      </c>
      <c r="F59" t="inlineStr">
        <is>
          <t>VÄSTRA GÖTALANDS LÄN</t>
        </is>
      </c>
      <c r="G59" t="inlineStr">
        <is>
          <t>BOLLEBYGD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46269</v>
      </c>
      <c r="F60" t="inlineStr">
        <is>
          <t>VÄSTRA GÖTALANDS LÄN</t>
        </is>
      </c>
      <c r="G60" t="inlineStr">
        <is>
          <t>BOLLEBYGD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46269</v>
      </c>
      <c r="F61" t="inlineStr">
        <is>
          <t>VÄSTRA GÖTALANDS LÄN</t>
        </is>
      </c>
      <c r="G61" t="inlineStr">
        <is>
          <t>BOLLEBYGD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31724-2023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45117</v>
      </c>
      <c r="E62" s="1" t="n">
        <v>46269</v>
      </c>
      <c r="F62" t="inlineStr">
        <is>
          <t>VÄSTRA GÖTALANDS LÄN</t>
        </is>
      </c>
      <c r="G62" t="inlineStr">
        <is>
          <t>BOLLEBYGD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45117</v>
      </c>
      <c r="E63" s="1" t="n">
        <v>46269</v>
      </c>
      <c r="F63" t="inlineStr">
        <is>
          <t>VÄSTRA GÖTALANDS LÄN</t>
        </is>
      </c>
      <c r="G63" t="inlineStr">
        <is>
          <t>BOLLEBYGD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44683</v>
      </c>
      <c r="E64" s="1" t="n">
        <v>46269</v>
      </c>
      <c r="F64" t="inlineStr">
        <is>
          <t>VÄSTRA GÖTALANDS LÄN</t>
        </is>
      </c>
      <c r="G64" t="inlineStr">
        <is>
          <t>BOLLEBYGD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46269</v>
      </c>
      <c r="F65" t="inlineStr">
        <is>
          <t>VÄSTRA GÖTALANDS LÄN</t>
        </is>
      </c>
      <c r="G65" t="inlineStr">
        <is>
          <t>BOLLEBYGD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46269</v>
      </c>
      <c r="F66" t="inlineStr">
        <is>
          <t>VÄSTRA GÖTALANDS LÄN</t>
        </is>
      </c>
      <c r="G66" t="inlineStr">
        <is>
          <t>BOLLEBYGD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44883</v>
      </c>
      <c r="E67" s="1" t="n">
        <v>46269</v>
      </c>
      <c r="F67" t="inlineStr">
        <is>
          <t>VÄSTRA GÖTALANDS LÄN</t>
        </is>
      </c>
      <c r="G67" t="inlineStr">
        <is>
          <t>BOLLEBYGD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30794-2023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46269</v>
      </c>
      <c r="F68" t="inlineStr">
        <is>
          <t>VÄSTRA GÖTALANDS LÄN</t>
        </is>
      </c>
      <c r="G68" t="inlineStr">
        <is>
          <t>BOLLEBYGD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46269</v>
      </c>
      <c r="F69" t="inlineStr">
        <is>
          <t>VÄSTRA GÖTALANDS LÄN</t>
        </is>
      </c>
      <c r="G69" t="inlineStr">
        <is>
          <t>BOLLEBYGD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46269</v>
      </c>
      <c r="F70" t="inlineStr">
        <is>
          <t>VÄSTRA GÖTALANDS LÄN</t>
        </is>
      </c>
      <c r="G70" t="inlineStr">
        <is>
          <t>BOLLEBYGD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45476</v>
      </c>
      <c r="E71" s="1" t="n">
        <v>46269</v>
      </c>
      <c r="F71" t="inlineStr">
        <is>
          <t>VÄSTRA GÖTALANDS LÄN</t>
        </is>
      </c>
      <c r="G71" t="inlineStr">
        <is>
          <t>BOLLEBYGD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22834-2024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46269</v>
      </c>
      <c r="F72" t="inlineStr">
        <is>
          <t>VÄSTRA GÖTALANDS LÄN</t>
        </is>
      </c>
      <c r="G72" t="inlineStr">
        <is>
          <t>BOLLEBYGD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46269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46269</v>
      </c>
      <c r="F74" t="inlineStr">
        <is>
          <t>VÄSTRA GÖTALANDS LÄN</t>
        </is>
      </c>
      <c r="G74" t="inlineStr">
        <is>
          <t>BOLLEBYGD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45328</v>
      </c>
      <c r="E75" s="1" t="n">
        <v>46269</v>
      </c>
      <c r="F75" t="inlineStr">
        <is>
          <t>VÄSTRA GÖTALANDS LÄN</t>
        </is>
      </c>
      <c r="G75" t="inlineStr">
        <is>
          <t>BOLLEBYGD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46269</v>
      </c>
      <c r="F76" t="inlineStr">
        <is>
          <t>VÄSTRA GÖTALANDS LÄN</t>
        </is>
      </c>
      <c r="G76" t="inlineStr">
        <is>
          <t>BOLLEBYGD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51314-2023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45219</v>
      </c>
      <c r="E77" s="1" t="n">
        <v>46269</v>
      </c>
      <c r="F77" t="inlineStr">
        <is>
          <t>VÄSTRA GÖTALANDS LÄN</t>
        </is>
      </c>
      <c r="G77" t="inlineStr">
        <is>
          <t>BOLLEBYGD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45722</v>
      </c>
      <c r="E78" s="1" t="n">
        <v>46269</v>
      </c>
      <c r="F78" t="inlineStr">
        <is>
          <t>VÄSTRA GÖTALANDS LÄN</t>
        </is>
      </c>
      <c r="G78" t="inlineStr">
        <is>
          <t>BOLLEBYGD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45715</v>
      </c>
      <c r="E79" s="1" t="n">
        <v>46269</v>
      </c>
      <c r="F79" t="inlineStr">
        <is>
          <t>VÄSTRA GÖTALANDS LÄN</t>
        </is>
      </c>
      <c r="G79" t="inlineStr">
        <is>
          <t>BOLLEBYGD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50647-2021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44459</v>
      </c>
      <c r="E80" s="1" t="n">
        <v>46269</v>
      </c>
      <c r="F80" t="inlineStr">
        <is>
          <t>VÄSTRA GÖTALANDS LÄN</t>
        </is>
      </c>
      <c r="G80" t="inlineStr">
        <is>
          <t>BOLLEBYGD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44946</v>
      </c>
      <c r="E81" s="1" t="n">
        <v>46269</v>
      </c>
      <c r="F81" t="inlineStr">
        <is>
          <t>VÄSTRA GÖTALANDS LÄN</t>
        </is>
      </c>
      <c r="G81" t="inlineStr">
        <is>
          <t>BOLLEBYGD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44708</v>
      </c>
      <c r="E82" s="1" t="n">
        <v>46269</v>
      </c>
      <c r="F82" t="inlineStr">
        <is>
          <t>VÄSTRA GÖTALANDS LÄN</t>
        </is>
      </c>
      <c r="G82" t="inlineStr">
        <is>
          <t>BOLLEBYGD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46269</v>
      </c>
      <c r="F83" t="inlineStr">
        <is>
          <t>VÄSTRA GÖTALANDS LÄN</t>
        </is>
      </c>
      <c r="G83" t="inlineStr">
        <is>
          <t>BOLLEBYGD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47980-2023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46269</v>
      </c>
      <c r="F84" t="inlineStr">
        <is>
          <t>VÄSTRA GÖTALANDS LÄN</t>
        </is>
      </c>
      <c r="G84" t="inlineStr">
        <is>
          <t>BOLLEBYGD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46269</v>
      </c>
      <c r="F85" t="inlineStr">
        <is>
          <t>VÄSTRA GÖTALANDS LÄN</t>
        </is>
      </c>
      <c r="G85" t="inlineStr">
        <is>
          <t>BOLLEBYGD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8570-2025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45709</v>
      </c>
      <c r="E86" s="1" t="n">
        <v>46269</v>
      </c>
      <c r="F86" t="inlineStr">
        <is>
          <t>VÄSTRA GÖTALANDS LÄN</t>
        </is>
      </c>
      <c r="G86" t="inlineStr">
        <is>
          <t>BOLLEBYGD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45836</v>
      </c>
      <c r="E87" s="1" t="n">
        <v>46269</v>
      </c>
      <c r="F87" t="inlineStr">
        <is>
          <t>VÄSTRA GÖTALANDS LÄN</t>
        </is>
      </c>
      <c r="G87" t="inlineStr">
        <is>
          <t>BOLLEBYGD</t>
        </is>
      </c>
      <c r="I87" t="n">
        <v>11.7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46269</v>
      </c>
      <c r="F88" t="inlineStr">
        <is>
          <t>VÄSTRA GÖTALANDS LÄN</t>
        </is>
      </c>
      <c r="G88" t="inlineStr">
        <is>
          <t>BOLLEBYGD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46269</v>
      </c>
      <c r="F89" t="inlineStr">
        <is>
          <t>VÄSTRA GÖTALANDS LÄN</t>
        </is>
      </c>
      <c r="G89" t="inlineStr">
        <is>
          <t>BOLLEBYGD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18337-2023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45041</v>
      </c>
      <c r="E90" s="1" t="n">
        <v>46269</v>
      </c>
      <c r="F90" t="inlineStr">
        <is>
          <t>VÄSTRA GÖTALANDS LÄN</t>
        </is>
      </c>
      <c r="G90" t="inlineStr">
        <is>
          <t>BOLLEBYGD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22541-2023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46269</v>
      </c>
      <c r="F91" t="inlineStr">
        <is>
          <t>VÄSTRA GÖTALANDS LÄN</t>
        </is>
      </c>
      <c r="G91" t="inlineStr">
        <is>
          <t>BOLLEBYGD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45303</v>
      </c>
      <c r="E92" s="1" t="n">
        <v>46269</v>
      </c>
      <c r="F92" t="inlineStr">
        <is>
          <t>VÄSTRA GÖTALANDS LÄN</t>
        </is>
      </c>
      <c r="G92" t="inlineStr">
        <is>
          <t>BOLLEBYGD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45701</v>
      </c>
      <c r="E93" s="1" t="n">
        <v>46269</v>
      </c>
      <c r="F93" t="inlineStr">
        <is>
          <t>VÄSTRA GÖTALANDS LÄN</t>
        </is>
      </c>
      <c r="G93" t="inlineStr">
        <is>
          <t>BOLLEBYGD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46269</v>
      </c>
      <c r="F94" t="inlineStr">
        <is>
          <t>VÄSTRA GÖTALANDS LÄN</t>
        </is>
      </c>
      <c r="G94" t="inlineStr">
        <is>
          <t>BOLLEBYGD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23330-2024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45453</v>
      </c>
      <c r="E95" s="1" t="n">
        <v>46269</v>
      </c>
      <c r="F95" t="inlineStr">
        <is>
          <t>VÄSTRA GÖTALANDS LÄN</t>
        </is>
      </c>
      <c r="G95" t="inlineStr">
        <is>
          <t>BOLLEBYGD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67455-2021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46269</v>
      </c>
      <c r="F96" t="inlineStr">
        <is>
          <t>VÄSTRA GÖTALANDS LÄN</t>
        </is>
      </c>
      <c r="G96" t="inlineStr">
        <is>
          <t>BOLLEBYGD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57036-2024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46269</v>
      </c>
      <c r="F97" t="inlineStr">
        <is>
          <t>VÄSTRA GÖTALANDS LÄN</t>
        </is>
      </c>
      <c r="G97" t="inlineStr">
        <is>
          <t>BOLLEBYGD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45112</v>
      </c>
      <c r="E98" s="1" t="n">
        <v>46269</v>
      </c>
      <c r="F98" t="inlineStr">
        <is>
          <t>VÄSTRA GÖTALANDS LÄN</t>
        </is>
      </c>
      <c r="G98" t="inlineStr">
        <is>
          <t>BOLLEBYGD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46269</v>
      </c>
      <c r="F99" t="inlineStr">
        <is>
          <t>VÄSTRA GÖTALANDS LÄN</t>
        </is>
      </c>
      <c r="G99" t="inlineStr">
        <is>
          <t>BOLLEBYGD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46269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46269</v>
      </c>
      <c r="F101" t="inlineStr">
        <is>
          <t>VÄSTRA GÖTALANDS LÄN</t>
        </is>
      </c>
      <c r="G101" t="inlineStr">
        <is>
          <t>BOLLEBYGD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45358</v>
      </c>
      <c r="E102" s="1" t="n">
        <v>46269</v>
      </c>
      <c r="F102" t="inlineStr">
        <is>
          <t>VÄSTRA GÖTALANDS LÄN</t>
        </is>
      </c>
      <c r="G102" t="inlineStr">
        <is>
          <t>BOLLEBYGD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45664</v>
      </c>
      <c r="E103" s="1" t="n">
        <v>46269</v>
      </c>
      <c r="F103" t="inlineStr">
        <is>
          <t>VÄSTRA GÖTALANDS LÄN</t>
        </is>
      </c>
      <c r="G103" t="inlineStr">
        <is>
          <t>BOLLEBYGD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45476</v>
      </c>
      <c r="E104" s="1" t="n">
        <v>46269</v>
      </c>
      <c r="F104" t="inlineStr">
        <is>
          <t>VÄSTRA GÖTALANDS LÄN</t>
        </is>
      </c>
      <c r="G104" t="inlineStr">
        <is>
          <t>BOLLEBYGD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44628</v>
      </c>
      <c r="E105" s="1" t="n">
        <v>46269</v>
      </c>
      <c r="F105" t="inlineStr">
        <is>
          <t>VÄSTRA GÖTALANDS LÄN</t>
        </is>
      </c>
      <c r="G105" t="inlineStr">
        <is>
          <t>BOLLEBYGD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46269</v>
      </c>
      <c r="F106" t="inlineStr">
        <is>
          <t>VÄSTRA GÖTALANDS LÄN</t>
        </is>
      </c>
      <c r="G106" t="inlineStr">
        <is>
          <t>BOLLEBYGD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46269</v>
      </c>
      <c r="F107" t="inlineStr">
        <is>
          <t>VÄSTRA GÖTALANDS LÄN</t>
        </is>
      </c>
      <c r="G107" t="inlineStr">
        <is>
          <t>BOLLEBYGD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46269</v>
      </c>
      <c r="F108" t="inlineStr">
        <is>
          <t>VÄSTRA GÖTALANDS LÄN</t>
        </is>
      </c>
      <c r="G108" t="inlineStr">
        <is>
          <t>BOLLEBYGD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45117</v>
      </c>
      <c r="E109" s="1" t="n">
        <v>46269</v>
      </c>
      <c r="F109" t="inlineStr">
        <is>
          <t>VÄSTRA GÖTALANDS LÄN</t>
        </is>
      </c>
      <c r="G109" t="inlineStr">
        <is>
          <t>BOLLEBYGD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45117</v>
      </c>
      <c r="E110" s="1" t="n">
        <v>46269</v>
      </c>
      <c r="F110" t="inlineStr">
        <is>
          <t>VÄSTRA GÖTALANDS LÄN</t>
        </is>
      </c>
      <c r="G110" t="inlineStr">
        <is>
          <t>BOLLEBYGD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46269</v>
      </c>
      <c r="F111" t="inlineStr">
        <is>
          <t>VÄSTRA GÖTALANDS LÄN</t>
        </is>
      </c>
      <c r="G111" t="inlineStr">
        <is>
          <t>BOLLEBYGD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46269</v>
      </c>
      <c r="F112" t="inlineStr">
        <is>
          <t>VÄSTRA GÖTALANDS LÄN</t>
        </is>
      </c>
      <c r="G112" t="inlineStr">
        <is>
          <t>BOLLEBYGD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45872</v>
      </c>
      <c r="E113" s="1" t="n">
        <v>46269</v>
      </c>
      <c r="F113" t="inlineStr">
        <is>
          <t>VÄSTRA GÖTALANDS LÄN</t>
        </is>
      </c>
      <c r="G113" t="inlineStr">
        <is>
          <t>BOLLEBYGD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46269</v>
      </c>
      <c r="F114" t="inlineStr">
        <is>
          <t>VÄSTRA GÖTALANDS LÄN</t>
        </is>
      </c>
      <c r="G114" t="inlineStr">
        <is>
          <t>BOLLEBYGD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62986-2023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46269</v>
      </c>
      <c r="F115" t="inlineStr">
        <is>
          <t>VÄSTRA GÖTALANDS LÄN</t>
        </is>
      </c>
      <c r="G115" t="inlineStr">
        <is>
          <t>BOLLEBYGD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45118</v>
      </c>
      <c r="E116" s="1" t="n">
        <v>46269</v>
      </c>
      <c r="F116" t="inlineStr">
        <is>
          <t>VÄSTRA GÖTALANDS LÄN</t>
        </is>
      </c>
      <c r="G116" t="inlineStr">
        <is>
          <t>BOLLEBYGD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46269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31546-2022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44775</v>
      </c>
      <c r="E118" s="1" t="n">
        <v>46269</v>
      </c>
      <c r="F118" t="inlineStr">
        <is>
          <t>VÄSTRA GÖTALANDS LÄN</t>
        </is>
      </c>
      <c r="G118" t="inlineStr">
        <is>
          <t>BOLLEBYGD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46269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45308</v>
      </c>
      <c r="E120" s="1" t="n">
        <v>46269</v>
      </c>
      <c r="F120" t="inlineStr">
        <is>
          <t>VÄSTRA GÖTALANDS LÄN</t>
        </is>
      </c>
      <c r="G120" t="inlineStr">
        <is>
          <t>BOLLEBYGD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46269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46269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46269</v>
      </c>
      <c r="F123" t="inlineStr">
        <is>
          <t>VÄSTRA GÖTALANDS LÄN</t>
        </is>
      </c>
      <c r="G123" t="inlineStr">
        <is>
          <t>BOLLEBYGD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45288</v>
      </c>
      <c r="E124" s="1" t="n">
        <v>46269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46269</v>
      </c>
      <c r="F125" t="inlineStr">
        <is>
          <t>VÄSTRA GÖTALANDS LÄN</t>
        </is>
      </c>
      <c r="G125" t="inlineStr">
        <is>
          <t>BOLLEBYGD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46269</v>
      </c>
      <c r="F126" t="inlineStr">
        <is>
          <t>VÄSTRA GÖTALANDS LÄN</t>
        </is>
      </c>
      <c r="G126" t="inlineStr">
        <is>
          <t>BOLLEBYGD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45568</v>
      </c>
      <c r="E127" s="1" t="n">
        <v>46269</v>
      </c>
      <c r="F127" t="inlineStr">
        <is>
          <t>VÄSTRA GÖTALANDS LÄN</t>
        </is>
      </c>
      <c r="G127" t="inlineStr">
        <is>
          <t>BOLLEBYGD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46269</v>
      </c>
      <c r="F128" t="inlineStr">
        <is>
          <t>VÄSTRA GÖTALANDS LÄN</t>
        </is>
      </c>
      <c r="G128" t="inlineStr">
        <is>
          <t>BOLLEBYGD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59816-2021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46269</v>
      </c>
      <c r="F129" t="inlineStr">
        <is>
          <t>VÄSTRA GÖTALANDS LÄN</t>
        </is>
      </c>
      <c r="G129" t="inlineStr">
        <is>
          <t>BOLLEBYGD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45696</v>
      </c>
      <c r="E130" s="1" t="n">
        <v>46269</v>
      </c>
      <c r="F130" t="inlineStr">
        <is>
          <t>VÄSTRA GÖTALANDS LÄN</t>
        </is>
      </c>
      <c r="G130" t="inlineStr">
        <is>
          <t>BOLLEBYGD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45587</v>
      </c>
      <c r="E131" s="1" t="n">
        <v>46269</v>
      </c>
      <c r="F131" t="inlineStr">
        <is>
          <t>VÄSTRA GÖTALANDS LÄN</t>
        </is>
      </c>
      <c r="G131" t="inlineStr">
        <is>
          <t>BOLLEBYGD</t>
        </is>
      </c>
      <c r="H131" t="inlineStr">
        <is>
          <t>Sveaskog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45288</v>
      </c>
      <c r="E132" s="1" t="n">
        <v>46269</v>
      </c>
      <c r="F132" t="inlineStr">
        <is>
          <t>VÄSTRA GÖTALANDS LÄN</t>
        </is>
      </c>
      <c r="G132" t="inlineStr">
        <is>
          <t>BOLLEBYGD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6745-2023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44966</v>
      </c>
      <c r="E133" s="1" t="n">
        <v>46269</v>
      </c>
      <c r="F133" t="inlineStr">
        <is>
          <t>VÄSTRA GÖTALANDS LÄN</t>
        </is>
      </c>
      <c r="G133" t="inlineStr">
        <is>
          <t>BOLLEBYGD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46269</v>
      </c>
      <c r="F134" t="inlineStr">
        <is>
          <t>VÄSTRA GÖTALANDS LÄN</t>
        </is>
      </c>
      <c r="G134" t="inlineStr">
        <is>
          <t>BOLLEBYGD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45308</v>
      </c>
      <c r="E135" s="1" t="n">
        <v>46269</v>
      </c>
      <c r="F135" t="inlineStr">
        <is>
          <t>VÄSTRA GÖTALANDS LÄN</t>
        </is>
      </c>
      <c r="G135" t="inlineStr">
        <is>
          <t>BOLLEBYGD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46269</v>
      </c>
      <c r="F136" t="inlineStr">
        <is>
          <t>VÄSTRA GÖTALANDS LÄN</t>
        </is>
      </c>
      <c r="G136" t="inlineStr">
        <is>
          <t>BOLLEBYGD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36131-2024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45534</v>
      </c>
      <c r="E137" s="1" t="n">
        <v>46269</v>
      </c>
      <c r="F137" t="inlineStr">
        <is>
          <t>VÄSTRA GÖTALANDS LÄN</t>
        </is>
      </c>
      <c r="G137" t="inlineStr">
        <is>
          <t>BOLLEBYGD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45537</v>
      </c>
      <c r="E138" s="1" t="n">
        <v>46269</v>
      </c>
      <c r="F138" t="inlineStr">
        <is>
          <t>VÄSTRA GÖTALANDS LÄN</t>
        </is>
      </c>
      <c r="G138" t="inlineStr">
        <is>
          <t>BOLLEBYGD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44992</v>
      </c>
      <c r="E139" s="1" t="n">
        <v>46269</v>
      </c>
      <c r="F139" t="inlineStr">
        <is>
          <t>VÄSTRA GÖTALANDS LÄN</t>
        </is>
      </c>
      <c r="G139" t="inlineStr">
        <is>
          <t>BOLLEBYGD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46269</v>
      </c>
      <c r="F140" t="inlineStr">
        <is>
          <t>VÄSTRA GÖTALANDS LÄN</t>
        </is>
      </c>
      <c r="G140" t="inlineStr">
        <is>
          <t>BOLLEBYGD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46269</v>
      </c>
      <c r="F141" t="inlineStr">
        <is>
          <t>VÄSTRA GÖTALANDS LÄN</t>
        </is>
      </c>
      <c r="G141" t="inlineStr">
        <is>
          <t>BOLLEBYGD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45763</v>
      </c>
      <c r="E142" s="1" t="n">
        <v>46269</v>
      </c>
      <c r="F142" t="inlineStr">
        <is>
          <t>VÄSTRA GÖTALANDS LÄN</t>
        </is>
      </c>
      <c r="G142" t="inlineStr">
        <is>
          <t>BOLLEBYGD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45763</v>
      </c>
      <c r="E143" s="1" t="n">
        <v>46269</v>
      </c>
      <c r="F143" t="inlineStr">
        <is>
          <t>VÄSTRA GÖTALANDS LÄN</t>
        </is>
      </c>
      <c r="G143" t="inlineStr">
        <is>
          <t>BOLLEBYGD</t>
        </is>
      </c>
      <c r="I143" t="n">
        <v>9.699999999999999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45117</v>
      </c>
      <c r="E144" s="1" t="n">
        <v>46269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46269</v>
      </c>
      <c r="F145" t="inlineStr">
        <is>
          <t>VÄSTRA GÖTALANDS LÄN</t>
        </is>
      </c>
      <c r="G145" t="inlineStr">
        <is>
          <t>BOLLEBYGD</t>
        </is>
      </c>
      <c r="I145" t="n">
        <v>12.4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46269</v>
      </c>
      <c r="F146" t="inlineStr">
        <is>
          <t>VÄSTRA GÖTALANDS LÄN</t>
        </is>
      </c>
      <c r="G146" t="inlineStr">
        <is>
          <t>BOLLEBYGD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46269</v>
      </c>
      <c r="F147" t="inlineStr">
        <is>
          <t>VÄSTRA GÖTALANDS LÄN</t>
        </is>
      </c>
      <c r="G147" t="inlineStr">
        <is>
          <t>BOLLEBYGD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46269</v>
      </c>
      <c r="F148" t="inlineStr">
        <is>
          <t>VÄSTRA GÖTALANDS LÄN</t>
        </is>
      </c>
      <c r="G148" t="inlineStr">
        <is>
          <t>BOLLEBYGD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46269</v>
      </c>
      <c r="F149" t="inlineStr">
        <is>
          <t>VÄSTRA GÖTALANDS LÄN</t>
        </is>
      </c>
      <c r="G149" t="inlineStr">
        <is>
          <t>BOLLEBYGD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46269</v>
      </c>
      <c r="F150" t="inlineStr">
        <is>
          <t>VÄSTRA GÖTALANDS LÄN</t>
        </is>
      </c>
      <c r="G150" t="inlineStr">
        <is>
          <t>BOLLEBYGD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46269</v>
      </c>
      <c r="F151" t="inlineStr">
        <is>
          <t>VÄSTRA GÖTALANDS LÄN</t>
        </is>
      </c>
      <c r="G151" t="inlineStr">
        <is>
          <t>BOLLEBYGD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20782-2026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46269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46269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47279-2025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46269</v>
      </c>
      <c r="F154" t="inlineStr">
        <is>
          <t>VÄSTRA GÖTALANDS LÄN</t>
        </is>
      </c>
      <c r="G154" t="inlineStr">
        <is>
          <t>BOLLEBYGD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46269</v>
      </c>
      <c r="F155" t="inlineStr">
        <is>
          <t>VÄSTRA GÖTALANDS LÄN</t>
        </is>
      </c>
      <c r="G155" t="inlineStr">
        <is>
          <t>BOLLEBYGD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44602</v>
      </c>
      <c r="E156" s="1" t="n">
        <v>46269</v>
      </c>
      <c r="F156" t="inlineStr">
        <is>
          <t>VÄSTRA GÖTALANDS LÄN</t>
        </is>
      </c>
      <c r="G156" t="inlineStr">
        <is>
          <t>BOLLEBYGD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45621</v>
      </c>
      <c r="E157" s="1" t="n">
        <v>46269</v>
      </c>
      <c r="F157" t="inlineStr">
        <is>
          <t>VÄSTRA GÖTALANDS LÄN</t>
        </is>
      </c>
      <c r="G157" t="inlineStr">
        <is>
          <t>BOLLEBYGD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48212-2025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46269</v>
      </c>
      <c r="F158" t="inlineStr">
        <is>
          <t>VÄSTRA GÖTALANDS LÄN</t>
        </is>
      </c>
      <c r="G158" t="inlineStr">
        <is>
          <t>BOLLEBYGD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45938</v>
      </c>
      <c r="E159" s="1" t="n">
        <v>46269</v>
      </c>
      <c r="F159" t="inlineStr">
        <is>
          <t>VÄSTRA GÖTALANDS LÄN</t>
        </is>
      </c>
      <c r="G159" t="inlineStr">
        <is>
          <t>BOLLEBYGD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46269</v>
      </c>
      <c r="F160" t="inlineStr">
        <is>
          <t>VÄSTRA GÖTALANDS LÄN</t>
        </is>
      </c>
      <c r="G160" t="inlineStr">
        <is>
          <t>BOLLEBYGD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46269</v>
      </c>
      <c r="F161" t="inlineStr">
        <is>
          <t>VÄSTRA GÖTALANDS LÄN</t>
        </is>
      </c>
      <c r="G161" t="inlineStr">
        <is>
          <t>BOLLEBYGD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46269</v>
      </c>
      <c r="F162" t="inlineStr">
        <is>
          <t>VÄSTRA GÖTALANDS LÄN</t>
        </is>
      </c>
      <c r="G162" t="inlineStr">
        <is>
          <t>BOLLEBYGD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46269</v>
      </c>
      <c r="F163" t="inlineStr">
        <is>
          <t>VÄSTRA GÖTALANDS LÄN</t>
        </is>
      </c>
      <c r="G163" t="inlineStr">
        <is>
          <t>BOLLEBYGD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46269</v>
      </c>
      <c r="F164" t="inlineStr">
        <is>
          <t>VÄSTRA GÖTALANDS LÄN</t>
        </is>
      </c>
      <c r="G164" t="inlineStr">
        <is>
          <t>BOLLEBYGD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48513-2021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44449</v>
      </c>
      <c r="E165" s="1" t="n">
        <v>46269</v>
      </c>
      <c r="F165" t="inlineStr">
        <is>
          <t>VÄSTRA GÖTALANDS LÄN</t>
        </is>
      </c>
      <c r="G165" t="inlineStr">
        <is>
          <t>BOLLEBYGD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45982</v>
      </c>
      <c r="E166" s="1" t="n">
        <v>46269</v>
      </c>
      <c r="F166" t="inlineStr">
        <is>
          <t>VÄSTRA GÖTALANDS LÄN</t>
        </is>
      </c>
      <c r="G166" t="inlineStr">
        <is>
          <t>BOLLEBYGD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58137-2025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45982</v>
      </c>
      <c r="E167" s="1" t="n">
        <v>46269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46174</v>
      </c>
      <c r="E168" s="1" t="n">
        <v>46269</v>
      </c>
      <c r="F168" t="inlineStr">
        <is>
          <t>VÄSTRA GÖTALANDS LÄN</t>
        </is>
      </c>
      <c r="G168" t="inlineStr">
        <is>
          <t>BOLLEBYGD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45992</v>
      </c>
      <c r="E169" s="1" t="n">
        <v>46269</v>
      </c>
      <c r="F169" t="inlineStr">
        <is>
          <t>VÄSTRA GÖTALANDS LÄN</t>
        </is>
      </c>
      <c r="G169" t="inlineStr">
        <is>
          <t>BOLLEBYGD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60091-2025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45993</v>
      </c>
      <c r="E170" s="1" t="n">
        <v>46269</v>
      </c>
      <c r="F170" t="inlineStr">
        <is>
          <t>VÄSTRA GÖTALANDS LÄN</t>
        </is>
      </c>
      <c r="G170" t="inlineStr">
        <is>
          <t>BOLLEBYGD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46269</v>
      </c>
      <c r="F171" t="inlineStr">
        <is>
          <t>VÄSTRA GÖTALANDS LÄN</t>
        </is>
      </c>
      <c r="G171" t="inlineStr">
        <is>
          <t>BOLLEBYGD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60089-2025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45993</v>
      </c>
      <c r="E172" s="1" t="n">
        <v>46269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45993</v>
      </c>
      <c r="E173" s="1" t="n">
        <v>46269</v>
      </c>
      <c r="F173" t="inlineStr">
        <is>
          <t>VÄSTRA GÖTALANDS LÄN</t>
        </is>
      </c>
      <c r="G173" t="inlineStr">
        <is>
          <t>BOLLEBYGD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45992</v>
      </c>
      <c r="E174" s="1" t="n">
        <v>46269</v>
      </c>
      <c r="F174" t="inlineStr">
        <is>
          <t>VÄSTRA GÖTALANDS LÄN</t>
        </is>
      </c>
      <c r="G174" t="inlineStr">
        <is>
          <t>BOLLEBYGD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45994</v>
      </c>
      <c r="E175" s="1" t="n">
        <v>46269</v>
      </c>
      <c r="F175" t="inlineStr">
        <is>
          <t>VÄSTRA GÖTALANDS LÄN</t>
        </is>
      </c>
      <c r="G175" t="inlineStr">
        <is>
          <t>BOLLEBYGD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46269</v>
      </c>
      <c r="F176" t="inlineStr">
        <is>
          <t>VÄSTRA GÖTALANDS LÄN</t>
        </is>
      </c>
      <c r="G176" t="inlineStr">
        <is>
          <t>BOLLEBYGD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46269</v>
      </c>
      <c r="F177" t="inlineStr">
        <is>
          <t>VÄSTRA GÖTALANDS LÄN</t>
        </is>
      </c>
      <c r="G177" t="inlineStr">
        <is>
          <t>BOLLEBYGD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45308</v>
      </c>
      <c r="E178" s="1" t="n">
        <v>46269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26642-2026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46184</v>
      </c>
      <c r="E179" s="1" t="n">
        <v>46269</v>
      </c>
      <c r="F179" t="inlineStr">
        <is>
          <t>VÄSTRA GÖTALANDS LÄN</t>
        </is>
      </c>
      <c r="G179" t="inlineStr">
        <is>
          <t>BOLLEBYGD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46269</v>
      </c>
      <c r="F180" t="inlineStr">
        <is>
          <t>VÄSTRA GÖTALANDS LÄN</t>
        </is>
      </c>
      <c r="G180" t="inlineStr">
        <is>
          <t>BOLLEBYGD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46188</v>
      </c>
      <c r="E181" s="1" t="n">
        <v>46269</v>
      </c>
      <c r="F181" t="inlineStr">
        <is>
          <t>VÄSTRA GÖTALANDS LÄN</t>
        </is>
      </c>
      <c r="G181" t="inlineStr">
        <is>
          <t>BOLLEBYGD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46269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46269</v>
      </c>
      <c r="F183" t="inlineStr">
        <is>
          <t>VÄSTRA GÖTALANDS LÄN</t>
        </is>
      </c>
      <c r="G183" t="inlineStr">
        <is>
          <t>BOLLEBYGD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46269</v>
      </c>
      <c r="F184" t="inlineStr">
        <is>
          <t>VÄSTRA GÖTALANDS LÄN</t>
        </is>
      </c>
      <c r="G184" t="inlineStr">
        <is>
          <t>BOLLEBYGD</t>
        </is>
      </c>
      <c r="H184" t="inlineStr">
        <is>
          <t>Kyrkan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46269</v>
      </c>
      <c r="F185" t="inlineStr">
        <is>
          <t>VÄSTRA GÖTALANDS LÄN</t>
        </is>
      </c>
      <c r="G185" t="inlineStr">
        <is>
          <t>BOLLEBYGD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46021</v>
      </c>
      <c r="E186" s="1" t="n">
        <v>46269</v>
      </c>
      <c r="F186" t="inlineStr">
        <is>
          <t>VÄSTRA GÖTALANDS LÄN</t>
        </is>
      </c>
      <c r="G186" t="inlineStr">
        <is>
          <t>BOLLEBYGD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64005-2025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46269</v>
      </c>
      <c r="F187" t="inlineStr">
        <is>
          <t>VÄSTRA GÖTALANDS LÄN</t>
        </is>
      </c>
      <c r="G187" t="inlineStr">
        <is>
          <t>BOLLEBYGD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44868</v>
      </c>
      <c r="E188" s="1" t="n">
        <v>46269</v>
      </c>
      <c r="F188" t="inlineStr">
        <is>
          <t>VÄSTRA GÖTALANDS LÄN</t>
        </is>
      </c>
      <c r="G188" t="inlineStr">
        <is>
          <t>BOLLEBYGD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46269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46269</v>
      </c>
      <c r="F190" t="inlineStr">
        <is>
          <t>VÄSTRA GÖTALANDS LÄN</t>
        </is>
      </c>
      <c r="G190" t="inlineStr">
        <is>
          <t>BOLLEBYGD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46269</v>
      </c>
      <c r="F191" t="inlineStr">
        <is>
          <t>VÄSTRA GÖTALANDS LÄN</t>
        </is>
      </c>
      <c r="G191" t="inlineStr">
        <is>
          <t>BOLLEBYGD</t>
        </is>
      </c>
      <c r="H191" t="inlineStr">
        <is>
          <t>Kyrkan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46269</v>
      </c>
      <c r="F192" t="inlineStr">
        <is>
          <t>VÄSTRA GÖTALANDS LÄN</t>
        </is>
      </c>
      <c r="G192" t="inlineStr">
        <is>
          <t>BOLLEBYGD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46269</v>
      </c>
      <c r="F193" t="inlineStr">
        <is>
          <t>VÄSTRA GÖTALANDS LÄN</t>
        </is>
      </c>
      <c r="G193" t="inlineStr">
        <is>
          <t>BOLLEBYGD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46269</v>
      </c>
      <c r="F194" t="inlineStr">
        <is>
          <t>VÄSTRA GÖTALANDS LÄN</t>
        </is>
      </c>
      <c r="G194" t="inlineStr">
        <is>
          <t>BOLLEBYGD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46269</v>
      </c>
      <c r="F195" t="inlineStr">
        <is>
          <t>VÄSTRA GÖTALANDS LÄN</t>
        </is>
      </c>
      <c r="G195" t="inlineStr">
        <is>
          <t>BOLLEBYGD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46269</v>
      </c>
      <c r="F196" t="inlineStr">
        <is>
          <t>VÄSTRA GÖTALANDS LÄN</t>
        </is>
      </c>
      <c r="G196" t="inlineStr">
        <is>
          <t>BOLLEBYGD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46269</v>
      </c>
      <c r="F197" t="inlineStr">
        <is>
          <t>VÄSTRA GÖTALANDS LÄN</t>
        </is>
      </c>
      <c r="G197" t="inlineStr">
        <is>
          <t>BOLLEBYGD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46269</v>
      </c>
      <c r="F198" t="inlineStr">
        <is>
          <t>VÄSTRA GÖTALANDS LÄN</t>
        </is>
      </c>
      <c r="G198" t="inlineStr">
        <is>
          <t>BOLLEBYGD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30795-2023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46269</v>
      </c>
      <c r="F199" t="inlineStr">
        <is>
          <t>VÄSTRA GÖTALANDS LÄN</t>
        </is>
      </c>
      <c r="G199" t="inlineStr">
        <is>
          <t>BOLLEBYGD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45112</v>
      </c>
      <c r="E200" s="1" t="n">
        <v>46269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7546-2026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46269</v>
      </c>
      <c r="F201" t="inlineStr">
        <is>
          <t>VÄSTRA GÖTALANDS LÄN</t>
        </is>
      </c>
      <c r="G201" t="inlineStr">
        <is>
          <t>BOLLEBYGD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44882</v>
      </c>
      <c r="E202" s="1" t="n">
        <v>46269</v>
      </c>
      <c r="F202" t="inlineStr">
        <is>
          <t>VÄSTRA GÖTALANDS LÄN</t>
        </is>
      </c>
      <c r="G202" t="inlineStr">
        <is>
          <t>BOLLEBYGD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46251</v>
      </c>
      <c r="E203" s="1" t="n">
        <v>46269</v>
      </c>
      <c r="F203" t="inlineStr">
        <is>
          <t>VÄSTRA GÖTALANDS LÄN</t>
        </is>
      </c>
      <c r="G203" t="inlineStr">
        <is>
          <t>BOLLEBYGD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46251</v>
      </c>
      <c r="E204" s="1" t="n">
        <v>46269</v>
      </c>
      <c r="F204" t="inlineStr">
        <is>
          <t>VÄSTRA GÖTALANDS LÄN</t>
        </is>
      </c>
      <c r="G204" t="inlineStr">
        <is>
          <t>BOLLEBYGD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56334-2024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45624</v>
      </c>
      <c r="E205" s="1" t="n">
        <v>46269</v>
      </c>
      <c r="F205" t="inlineStr">
        <is>
          <t>VÄSTRA GÖTALANDS LÄN</t>
        </is>
      </c>
      <c r="G205" t="inlineStr">
        <is>
          <t>BOLLEBYGD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46269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30098-2026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46269</v>
      </c>
      <c r="F207" t="inlineStr">
        <is>
          <t>VÄSTRA GÖTALANDS LÄN</t>
        </is>
      </c>
      <c r="G207" t="inlineStr">
        <is>
          <t>BOLLEBYGD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63725-2023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45276</v>
      </c>
      <c r="E208" s="1" t="n">
        <v>46269</v>
      </c>
      <c r="F208" t="inlineStr">
        <is>
          <t>VÄSTRA GÖTALANDS LÄN</t>
        </is>
      </c>
      <c r="G208" t="inlineStr">
        <is>
          <t>BOLLEBYGD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46269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46269</v>
      </c>
      <c r="F210" t="inlineStr">
        <is>
          <t>VÄSTRA GÖTALANDS LÄN</t>
        </is>
      </c>
      <c r="G210" t="inlineStr">
        <is>
          <t>BOLLEBYGD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12469-2026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46090</v>
      </c>
      <c r="E211" s="1" t="n">
        <v>46269</v>
      </c>
      <c r="F211" t="inlineStr">
        <is>
          <t>VÄSTRA GÖTALANDS LÄN</t>
        </is>
      </c>
      <c r="G211" t="inlineStr">
        <is>
          <t>BOLLEBYGD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46090</v>
      </c>
      <c r="E212" s="1" t="n">
        <v>46269</v>
      </c>
      <c r="F212" t="inlineStr">
        <is>
          <t>VÄSTRA GÖTALANDS LÄN</t>
        </is>
      </c>
      <c r="G212" t="inlineStr">
        <is>
          <t>BOLLEBYGD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46269</v>
      </c>
      <c r="F213" t="inlineStr">
        <is>
          <t>VÄSTRA GÖTALANDS LÄN</t>
        </is>
      </c>
      <c r="G213" t="inlineStr">
        <is>
          <t>BOLLEBYGD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46093</v>
      </c>
      <c r="E214" s="1" t="n">
        <v>46269</v>
      </c>
      <c r="F214" t="inlineStr">
        <is>
          <t>VÄSTRA GÖTALANDS LÄN</t>
        </is>
      </c>
      <c r="G214" t="inlineStr">
        <is>
          <t>BOLLEBYGD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12879-2026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46092</v>
      </c>
      <c r="E215" s="1" t="n">
        <v>46269</v>
      </c>
      <c r="F215" t="inlineStr">
        <is>
          <t>VÄSTRA GÖTALANDS LÄN</t>
        </is>
      </c>
      <c r="G215" t="inlineStr">
        <is>
          <t>BOLLEBYGD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46269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46269</v>
      </c>
      <c r="F217" t="inlineStr">
        <is>
          <t>VÄSTRA GÖTALANDS LÄN</t>
        </is>
      </c>
      <c r="G217" t="inlineStr">
        <is>
          <t>BOLLEBYGD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14111-2026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46269</v>
      </c>
      <c r="F218" t="inlineStr">
        <is>
          <t>VÄSTRA GÖTALANDS LÄN</t>
        </is>
      </c>
      <c r="G218" t="inlineStr">
        <is>
          <t>BOLLEBYGD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17434-2026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46120</v>
      </c>
      <c r="E219" s="1" t="n">
        <v>46269</v>
      </c>
      <c r="F219" t="inlineStr">
        <is>
          <t>VÄSTRA GÖTALANDS LÄN</t>
        </is>
      </c>
      <c r="G219" t="inlineStr">
        <is>
          <t>BOLLEBYGD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46269</v>
      </c>
      <c r="F220" t="inlineStr">
        <is>
          <t>VÄSTRA GÖTALANDS LÄN</t>
        </is>
      </c>
      <c r="G220" t="inlineStr">
        <is>
          <t>BOLLEBYGD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14545-2026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46100</v>
      </c>
      <c r="E221" s="1" t="n">
        <v>46269</v>
      </c>
      <c r="F221" t="inlineStr">
        <is>
          <t>VÄSTRA GÖTALANDS LÄN</t>
        </is>
      </c>
      <c r="G221" t="inlineStr">
        <is>
          <t>BOLLEBYGD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46269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46269</v>
      </c>
      <c r="F223" t="inlineStr">
        <is>
          <t>VÄSTRA GÖTALANDS LÄN</t>
        </is>
      </c>
      <c r="G223" t="inlineStr">
        <is>
          <t>BOLLEBYGD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58010-2022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44900</v>
      </c>
      <c r="E224" s="1" t="n">
        <v>46269</v>
      </c>
      <c r="F224" t="inlineStr">
        <is>
          <t>VÄSTRA GÖTALANDS LÄN</t>
        </is>
      </c>
      <c r="G224" t="inlineStr">
        <is>
          <t>BOLLEBYGD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46269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46269</v>
      </c>
      <c r="F226" t="inlineStr">
        <is>
          <t>VÄSTRA GÖTALANDS LÄN</t>
        </is>
      </c>
      <c r="G226" t="inlineStr">
        <is>
          <t>BOLLEBYGD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46269</v>
      </c>
      <c r="F227" t="inlineStr">
        <is>
          <t>VÄSTRA GÖTALANDS LÄN</t>
        </is>
      </c>
      <c r="G227" t="inlineStr">
        <is>
          <t>BOLLEBYGD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45377</v>
      </c>
      <c r="E228" s="1" t="n">
        <v>46269</v>
      </c>
      <c r="F228" t="inlineStr">
        <is>
          <t>VÄSTRA GÖTALANDS LÄN</t>
        </is>
      </c>
      <c r="G228" t="inlineStr">
        <is>
          <t>BOLLEBYGD</t>
        </is>
      </c>
      <c r="H228" t="inlineStr">
        <is>
          <t>Kommuner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45762</v>
      </c>
      <c r="E229" s="1" t="n">
        <v>46269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46269</v>
      </c>
      <c r="F230" t="inlineStr">
        <is>
          <t>VÄSTRA GÖTALANDS LÄN</t>
        </is>
      </c>
      <c r="G230" t="inlineStr">
        <is>
          <t>BOLLEBYGD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46269</v>
      </c>
      <c r="F231" t="inlineStr">
        <is>
          <t>VÄSTRA GÖTALANDS LÄN</t>
        </is>
      </c>
      <c r="G231" t="inlineStr">
        <is>
          <t>BOLLEBYGD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45218</v>
      </c>
      <c r="E232" s="1" t="n">
        <v>46269</v>
      </c>
      <c r="F232" t="inlineStr">
        <is>
          <t>VÄSTRA GÖTALANDS LÄN</t>
        </is>
      </c>
      <c r="G232" t="inlineStr">
        <is>
          <t>BOLLEBYGD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45248</v>
      </c>
      <c r="E233" s="1" t="n">
        <v>46269</v>
      </c>
      <c r="F233" t="inlineStr">
        <is>
          <t>VÄSTRA GÖTALANDS LÄN</t>
        </is>
      </c>
      <c r="G233" t="inlineStr">
        <is>
          <t>BOLLEBYGD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64207-2021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44510</v>
      </c>
      <c r="E234" s="1" t="n">
        <v>46269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46269</v>
      </c>
      <c r="F235" t="inlineStr">
        <is>
          <t>VÄSTRA GÖTALANDS LÄN</t>
        </is>
      </c>
      <c r="G235" t="inlineStr">
        <is>
          <t>BOLLEBYGD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46269</v>
      </c>
      <c r="F236" t="inlineStr">
        <is>
          <t>VÄSTRA GÖTALANDS LÄN</t>
        </is>
      </c>
      <c r="G236" t="inlineStr">
        <is>
          <t>BOLLEBYGD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45784</v>
      </c>
      <c r="E237" s="1" t="n">
        <v>46269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46269</v>
      </c>
      <c r="F238" t="inlineStr">
        <is>
          <t>VÄSTRA GÖTALANDS LÄN</t>
        </is>
      </c>
      <c r="G238" t="inlineStr">
        <is>
          <t>BOLLEBYGD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46269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46269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46269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2026-09-04T02:05:46Z</dcterms:created>
  <dcterms:modified xmlns:dcterms="http://purl.org/dc/terms/" xmlns:xsi="http://www.w3.org/2001/XMLSchema-instance" xsi:type="dcterms:W3CDTF">2026-09-04T02:05:46Z</dcterms:modified>
</cp:coreProperties>
</file>