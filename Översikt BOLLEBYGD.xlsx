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46321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46321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46321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46321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46321</v>
      </c>
      <c r="F7" t="inlineStr">
        <is>
          <t>VÄSTRA GÖTALANDS LÄN</t>
        </is>
      </c>
      <c r="G7" t="inlineStr">
        <is>
          <t>BOLLEBYGD</t>
        </is>
      </c>
      <c r="I7" t="n">
        <v>6.2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10</v>
      </c>
      <c r="U7" t="n">
        <v>8</v>
      </c>
      <c r="V7" s="2" t="inlineStr">
        <is>
          <t>Oxtungssvamp
Vågbandad barkbock
Tofsmes
Svartvit flugsnappare
Grönvit nattviol</t>
        </is>
      </c>
      <c r="W7">
        <f>HYPERLINK("https://klasma.github.io/Logging_1443/artfynd/A 30777-2023 artfynd.xlsx", "A 30777-2023")</f>
        <v/>
      </c>
      <c r="X7">
        <f>HYPERLINK("https://klasma.github.io/Logging_1443/kartor/A 30777-2023 karta.png", "A 30777-2023")</f>
        <v/>
      </c>
      <c r="Y7">
        <f>HYPERLINK("https://klasma.github.io/Logging_1443/kartor_geotiff/A 30777-2023 georefererad karta.tif", "A 30777-2023")</f>
        <v/>
      </c>
      <c r="AA7">
        <f>HYPERLINK("https://klasma.github.io/Logging_1443/klagomål/A 30777-2023 FSC-klagomål.docx", "A 30777-2023")</f>
        <v/>
      </c>
      <c r="AB7">
        <f>HYPERLINK("https://klasma.github.io/Logging_1443/klagomålsmail/A 30777-2023 FSC-klagomål mail.docx", "A 30777-2023")</f>
        <v/>
      </c>
      <c r="AC7">
        <f>HYPERLINK("https://klasma.github.io/Logging_1443/tillsyn/A 30777-2023 tillsynsbegäran.docx", "A 30777-2023")</f>
        <v/>
      </c>
      <c r="AD7">
        <f>HYPERLINK("https://klasma.github.io/Logging_1443/tillsynsmail/A 30777-2023 tillsynsbegäran mail.docx", "A 30777-2023")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46321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46321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46321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46321</v>
      </c>
      <c r="F12" t="inlineStr">
        <is>
          <t>VÄSTRA GÖTALANDS LÄN</t>
        </is>
      </c>
      <c r="G12" t="inlineStr">
        <is>
          <t>BOLLEBYGD</t>
        </is>
      </c>
      <c r="I12" t="n">
        <v>4.9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12</v>
      </c>
      <c r="U12" t="n">
        <v>10</v>
      </c>
      <c r="V12" s="2" t="inlineStr">
        <is>
          <t>Knärot
Järnsparv
Spillkråka</t>
        </is>
      </c>
      <c r="W12">
        <f>HYPERLINK("https://klasma.github.io/Logging_1443/artfynd/A 30671-2023 artfynd.xlsx", "A 30671-2023")</f>
        <v/>
      </c>
      <c r="X12">
        <f>HYPERLINK("https://klasma.github.io/Logging_1443/kartor/A 30671-2023 karta.png", "A 30671-2023")</f>
        <v/>
      </c>
      <c r="Y12">
        <f>HYPERLINK("https://klasma.github.io/Logging_1443/kartor_geotiff/A 30671-2023 georefererad karta.tif", "A 30671-2023")</f>
        <v/>
      </c>
      <c r="Z12">
        <f>HYPERLINK("https://klasma.github.io/Logging_1443/knärot/A 30671-2023 karta knärot.png", "A 30671-2023")</f>
        <v/>
      </c>
      <c r="AA12">
        <f>HYPERLINK("https://klasma.github.io/Logging_1443/klagomål/A 30671-2023 FSC-klagomål.docx", "A 30671-2023")</f>
        <v/>
      </c>
      <c r="AB12">
        <f>HYPERLINK("https://klasma.github.io/Logging_1443/klagomålsmail/A 30671-2023 FSC-klagomål mail.docx", "A 30671-2023")</f>
        <v/>
      </c>
      <c r="AC12">
        <f>HYPERLINK("https://klasma.github.io/Logging_1443/tillsyn/A 30671-2023 tillsynsbegäran.docx", "A 30671-2023")</f>
        <v/>
      </c>
      <c r="AD12">
        <f>HYPERLINK("https://klasma.github.io/Logging_1443/tillsynsmail/A 30671-2023 tillsynsbegäran mail.docx", "A 30671-2023")</f>
        <v/>
      </c>
      <c r="AE12">
        <f>HYPERLINK("https://klasma.github.io/Logging_1443/fåglar/A 30671-2023 prioriterade fågelarter.docx", "A 30671-2023")</f>
        <v/>
      </c>
    </row>
    <row r="13" ht="15" customHeight="1">
      <c r="A13" t="inlineStr">
        <is>
          <t>A 30763-2023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46321</v>
      </c>
      <c r="F13" t="inlineStr">
        <is>
          <t>VÄSTRA GÖTALANDS LÄN</t>
        </is>
      </c>
      <c r="G13" t="inlineStr">
        <is>
          <t>BOLLEBYGD</t>
        </is>
      </c>
      <c r="I13" t="n">
        <v>4.9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Vågbandad barkbock
Spillkråka</t>
        </is>
      </c>
      <c r="W13">
        <f>HYPERLINK("https://klasma.github.io/Logging_1443/artfynd/A 30763-2023 artfynd.xlsx", "A 30763-2023")</f>
        <v/>
      </c>
      <c r="X13">
        <f>HYPERLINK("https://klasma.github.io/Logging_1443/kartor/A 30763-2023 karta.png", "A 30763-2023")</f>
        <v/>
      </c>
      <c r="Y13">
        <f>HYPERLINK("https://klasma.github.io/Logging_1443/kartor_geotiff/A 30763-2023 georefererad karta.tif", "A 30763-2023")</f>
        <v/>
      </c>
      <c r="AA13">
        <f>HYPERLINK("https://klasma.github.io/Logging_1443/klagomål/A 30763-2023 FSC-klagomål.docx", "A 30763-2023")</f>
        <v/>
      </c>
      <c r="AB13">
        <f>HYPERLINK("https://klasma.github.io/Logging_1443/klagomålsmail/A 30763-2023 FSC-klagomål mail.docx", "A 30763-2023")</f>
        <v/>
      </c>
      <c r="AC13">
        <f>HYPERLINK("https://klasma.github.io/Logging_1443/tillsyn/A 30763-2023 tillsynsbegäran.docx", "A 30763-2023")</f>
        <v/>
      </c>
      <c r="AD13">
        <f>HYPERLINK("https://klasma.github.io/Logging_1443/tillsynsmail/A 30763-2023 tillsynsbegäran mail.docx", "A 30763-2023")</f>
        <v/>
      </c>
      <c r="AE13">
        <f>HYPERLINK("https://klasma.github.io/Logging_1443/fåglar/A 30763-2023 prioriterade fågelarter.docx", "A 30763-2023")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46321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46321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46321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46321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46321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46321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46321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46321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35491-2023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46321</v>
      </c>
      <c r="F22" t="inlineStr">
        <is>
          <t>VÄSTRA GÖTALANDS LÄN</t>
        </is>
      </c>
      <c r="G22" t="inlineStr">
        <is>
          <t>BOLLEBYGD</t>
        </is>
      </c>
      <c r="I22" t="n">
        <v>3.5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HYPERLINK("https://klasma.github.io/Logging_1443/artfynd/A 35491-2023 artfynd.xlsx", "A 35491-2023")</f>
        <v/>
      </c>
      <c r="X22">
        <f>HYPERLINK("https://klasma.github.io/Logging_1443/kartor/A 35491-2023 karta.png", "A 35491-2023")</f>
        <v/>
      </c>
      <c r="Y22">
        <f>HYPERLINK("https://klasma.github.io/Logging_1443/kartor_geotiff/A 35491-2023 georefererad karta.tif", "A 35491-2023")</f>
        <v/>
      </c>
      <c r="Z22">
        <f>HYPERLINK("https://klasma.github.io/Logging_1443/knärot/A 35491-2023 karta knärot.png", "A 35491-2023")</f>
        <v/>
      </c>
      <c r="AA22">
        <f>HYPERLINK("https://klasma.github.io/Logging_1443/klagomål/A 35491-2023 FSC-klagomål.docx", "A 35491-2023")</f>
        <v/>
      </c>
      <c r="AB22">
        <f>HYPERLINK("https://klasma.github.io/Logging_1443/klagomålsmail/A 35491-2023 FSC-klagomål mail.docx", "A 35491-2023")</f>
        <v/>
      </c>
      <c r="AC22">
        <f>HYPERLINK("https://klasma.github.io/Logging_1443/tillsyn/A 35491-2023 tillsynsbegäran.docx", "A 35491-2023")</f>
        <v/>
      </c>
      <c r="AD22">
        <f>HYPERLINK("https://klasma.github.io/Logging_1443/tillsynsmail/A 35491-2023 tillsynsbegäran mail.docx", "A 35491-2023")</f>
        <v/>
      </c>
    </row>
    <row r="23" ht="15" customHeight="1">
      <c r="A23" t="inlineStr">
        <is>
          <t>A 23906-2024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45455</v>
      </c>
      <c r="E23" s="1" t="n">
        <v>46321</v>
      </c>
      <c r="F23" t="inlineStr">
        <is>
          <t>VÄSTRA GÖTALANDS LÄN</t>
        </is>
      </c>
      <c r="G23" t="inlineStr">
        <is>
          <t>BOLLEBYGD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23906-2024 artfynd.xlsx", "A 23906-2024")</f>
        <v/>
      </c>
      <c r="X23">
        <f>HYPERLINK("https://klasma.github.io/Logging_1443/kartor/A 23906-2024 karta.png", "A 23906-2024")</f>
        <v/>
      </c>
      <c r="Y23">
        <f>HYPERLINK("https://klasma.github.io/Logging_1443/kartor_geotiff/A 23906-2024 georefererad karta.tif", "A 23906-2024")</f>
        <v/>
      </c>
      <c r="AA23">
        <f>HYPERLINK("https://klasma.github.io/Logging_1443/klagomål/A 23906-2024 FSC-klagomål.docx", "A 23906-2024")</f>
        <v/>
      </c>
      <c r="AB23">
        <f>HYPERLINK("https://klasma.github.io/Logging_1443/klagomålsmail/A 23906-2024 FSC-klagomål mail.docx", "A 23906-2024")</f>
        <v/>
      </c>
      <c r="AC23">
        <f>HYPERLINK("https://klasma.github.io/Logging_1443/tillsyn/A 23906-2024 tillsynsbegäran.docx", "A 23906-2024")</f>
        <v/>
      </c>
      <c r="AD23">
        <f>HYPERLINK("https://klasma.github.io/Logging_1443/tillsynsmail/A 23906-2024 tillsynsbegäran mail.docx", "A 23906-2024")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46321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35526-2023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45147</v>
      </c>
      <c r="E25" s="1" t="n">
        <v>46321</v>
      </c>
      <c r="F25" t="inlineStr">
        <is>
          <t>VÄSTRA GÖTALANDS LÄN</t>
        </is>
      </c>
      <c r="G25" t="inlineStr">
        <is>
          <t>BOLLEBYGD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Vanlig padda</t>
        </is>
      </c>
      <c r="W25">
        <f>HYPERLINK("https://klasma.github.io/Logging_1443/artfynd/A 35526-2023 artfynd.xlsx", "A 35526-2023")</f>
        <v/>
      </c>
      <c r="X25">
        <f>HYPERLINK("https://klasma.github.io/Logging_1443/kartor/A 35526-2023 karta.png", "A 35526-2023")</f>
        <v/>
      </c>
      <c r="Y25">
        <f>HYPERLINK("https://klasma.github.io/Logging_1443/kartor_geotiff/A 35526-2023 georefererad karta.tif", "A 35526-2023")</f>
        <v/>
      </c>
      <c r="AA25">
        <f>HYPERLINK("https://klasma.github.io/Logging_1443/klagomål/A 35526-2023 FSC-klagomål.docx", "A 35526-2023")</f>
        <v/>
      </c>
      <c r="AB25">
        <f>HYPERLINK("https://klasma.github.io/Logging_1443/klagomålsmail/A 35526-2023 FSC-klagomål mail.docx", "A 35526-2023")</f>
        <v/>
      </c>
      <c r="AC25">
        <f>HYPERLINK("https://klasma.github.io/Logging_1443/tillsyn/A 35526-2023 tillsynsbegäran.docx", "A 35526-2023")</f>
        <v/>
      </c>
      <c r="AD25">
        <f>HYPERLINK("https://klasma.github.io/Logging_1443/tillsynsmail/A 35526-2023 tillsynsbegäran mail.docx", "A 35526-2023")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46321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41586-2026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46302</v>
      </c>
      <c r="E27" s="1" t="n">
        <v>46321</v>
      </c>
      <c r="F27" t="inlineStr">
        <is>
          <t>VÄSTRA GÖTALANDS LÄN</t>
        </is>
      </c>
      <c r="G27" t="inlineStr">
        <is>
          <t>BOLLEBYGD</t>
        </is>
      </c>
      <c r="H27" t="inlineStr">
        <is>
          <t>Sveaskog</t>
        </is>
      </c>
      <c r="I27" t="n">
        <v>5.4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HYPERLINK("https://klasma.github.io/Logging_1443/artfynd/A 41586-2026 artfynd.xlsx", "A 41586-2026")</f>
        <v/>
      </c>
      <c r="X27">
        <f>HYPERLINK("https://klasma.github.io/Logging_1443/kartor/A 41586-2026 karta.png", "A 41586-2026")</f>
        <v/>
      </c>
      <c r="Y27">
        <f>HYPERLINK("https://klasma.github.io/Logging_1443/kartor_geotiff/A 41586-2026 georefererad karta.tif", "A 41586-2026")</f>
        <v/>
      </c>
      <c r="AA27">
        <f>HYPERLINK("https://klasma.github.io/Logging_1443/klagomål/A 41586-2026 FSC-klagomål.docx", "A 41586-2026")</f>
        <v/>
      </c>
      <c r="AB27">
        <f>HYPERLINK("https://klasma.github.io/Logging_1443/klagomålsmail/A 41586-2026 FSC-klagomål mail.docx", "A 41586-2026")</f>
        <v/>
      </c>
      <c r="AC27">
        <f>HYPERLINK("https://klasma.github.io/Logging_1443/tillsyn/A 41586-2026 tillsynsbegäran.docx", "A 41586-2026")</f>
        <v/>
      </c>
      <c r="AD27">
        <f>HYPERLINK("https://klasma.github.io/Logging_1443/tillsynsmail/A 41586-2026 tillsynsbegäran mail.docx", "A 41586-2026")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46321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30745-2023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46321</v>
      </c>
      <c r="F29" t="inlineStr">
        <is>
          <t>VÄSTRA GÖTALANDS LÄN</t>
        </is>
      </c>
      <c r="G29" t="inlineStr">
        <is>
          <t>BOLLEBYGD</t>
        </is>
      </c>
      <c r="I29" t="n">
        <v>3.9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HYPERLINK("https://klasma.github.io/Logging_1443/artfynd/A 30745-2023 artfynd.xlsx", "A 30745-2023")</f>
        <v/>
      </c>
      <c r="X29">
        <f>HYPERLINK("https://klasma.github.io/Logging_1443/kartor/A 30745-2023 karta.png", "A 30745-2023")</f>
        <v/>
      </c>
      <c r="Y29">
        <f>HYPERLINK("https://klasma.github.io/Logging_1443/kartor_geotiff/A 30745-2023 georefererad karta.tif", "A 30745-2023")</f>
        <v/>
      </c>
      <c r="AA29">
        <f>HYPERLINK("https://klasma.github.io/Logging_1443/klagomål/A 30745-2023 FSC-klagomål.docx", "A 30745-2023")</f>
        <v/>
      </c>
      <c r="AB29">
        <f>HYPERLINK("https://klasma.github.io/Logging_1443/klagomålsmail/A 30745-2023 FSC-klagomål mail.docx", "A 30745-2023")</f>
        <v/>
      </c>
      <c r="AC29">
        <f>HYPERLINK("https://klasma.github.io/Logging_1443/tillsyn/A 30745-2023 tillsynsbegäran.docx", "A 30745-2023")</f>
        <v/>
      </c>
      <c r="AD29">
        <f>HYPERLINK("https://klasma.github.io/Logging_1443/tillsynsmail/A 30745-2023 tillsynsbegäran mail.docx", "A 30745-2023")</f>
        <v/>
      </c>
    </row>
    <row r="30" ht="15" customHeight="1">
      <c r="A30" t="inlineStr">
        <is>
          <t>A 30653-2023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46321</v>
      </c>
      <c r="F30" t="inlineStr">
        <is>
          <t>VÄSTRA GÖTALANDS LÄN</t>
        </is>
      </c>
      <c r="G30" t="inlineStr">
        <is>
          <t>BOLLEBYGD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HYPERLINK("https://klasma.github.io/Logging_1443/artfynd/A 30653-2023 artfynd.xlsx", "A 30653-2023")</f>
        <v/>
      </c>
      <c r="X30">
        <f>HYPERLINK("https://klasma.github.io/Logging_1443/kartor/A 30653-2023 karta.png", "A 30653-2023")</f>
        <v/>
      </c>
      <c r="Y30">
        <f>HYPERLINK("https://klasma.github.io/Logging_1443/kartor_geotiff/A 30653-2023 georefererad karta.tif", "A 30653-2023")</f>
        <v/>
      </c>
      <c r="AA30">
        <f>HYPERLINK("https://klasma.github.io/Logging_1443/klagomål/A 30653-2023 FSC-klagomål.docx", "A 30653-2023")</f>
        <v/>
      </c>
      <c r="AB30">
        <f>HYPERLINK("https://klasma.github.io/Logging_1443/klagomålsmail/A 30653-2023 FSC-klagomål mail.docx", "A 30653-2023")</f>
        <v/>
      </c>
      <c r="AC30">
        <f>HYPERLINK("https://klasma.github.io/Logging_1443/tillsyn/A 30653-2023 tillsynsbegäran.docx", "A 30653-2023")</f>
        <v/>
      </c>
      <c r="AD30">
        <f>HYPERLINK("https://klasma.github.io/Logging_1443/tillsynsmail/A 30653-2023 tillsynsbegäran mail.docx", "A 30653-2023")</f>
        <v/>
      </c>
      <c r="AE30">
        <f>HYPERLINK("https://klasma.github.io/Logging_1443/fåglar/A 30653-2023 prioriterade fågelarter.docx", "A 30653-2023")</f>
        <v/>
      </c>
    </row>
    <row r="31" ht="15" customHeight="1">
      <c r="A31" t="inlineStr">
        <is>
          <t>A 30662-2023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46321</v>
      </c>
      <c r="F31" t="inlineStr">
        <is>
          <t>VÄSTRA GÖTALANDS LÄN</t>
        </is>
      </c>
      <c r="G31" t="inlineStr">
        <is>
          <t>BOLLEBYGD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Svartvit flugsnappare</t>
        </is>
      </c>
      <c r="W31">
        <f>HYPERLINK("https://klasma.github.io/Logging_1443/artfynd/A 30662-2023 artfynd.xlsx", "A 30662-2023")</f>
        <v/>
      </c>
      <c r="X31">
        <f>HYPERLINK("https://klasma.github.io/Logging_1443/kartor/A 30662-2023 karta.png", "A 30662-2023")</f>
        <v/>
      </c>
      <c r="Y31">
        <f>HYPERLINK("https://klasma.github.io/Logging_1443/kartor_geotiff/A 30662-2023 georefererad karta.tif", "A 30662-2023")</f>
        <v/>
      </c>
      <c r="AA31">
        <f>HYPERLINK("https://klasma.github.io/Logging_1443/klagomål/A 30662-2023 FSC-klagomål.docx", "A 30662-2023")</f>
        <v/>
      </c>
      <c r="AB31">
        <f>HYPERLINK("https://klasma.github.io/Logging_1443/klagomålsmail/A 30662-2023 FSC-klagomål mail.docx", "A 30662-2023")</f>
        <v/>
      </c>
      <c r="AC31">
        <f>HYPERLINK("https://klasma.github.io/Logging_1443/tillsyn/A 30662-2023 tillsynsbegäran.docx", "A 30662-2023")</f>
        <v/>
      </c>
      <c r="AD31">
        <f>HYPERLINK("https://klasma.github.io/Logging_1443/tillsynsmail/A 30662-2023 tillsynsbegäran mail.docx", "A 30662-2023")</f>
        <v/>
      </c>
    </row>
    <row r="32" ht="15" customHeight="1">
      <c r="A32" t="inlineStr">
        <is>
          <t>A 30754-2023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46321</v>
      </c>
      <c r="F32" t="inlineStr">
        <is>
          <t>VÄSTRA GÖTALANDS LÄN</t>
        </is>
      </c>
      <c r="G32" t="inlineStr">
        <is>
          <t>BOLLEBYGD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HYPERLINK("https://klasma.github.io/Logging_1443/artfynd/A 30754-2023 artfynd.xlsx", "A 30754-2023")</f>
        <v/>
      </c>
      <c r="X32">
        <f>HYPERLINK("https://klasma.github.io/Logging_1443/kartor/A 30754-2023 karta.png", "A 30754-2023")</f>
        <v/>
      </c>
      <c r="Y32">
        <f>HYPERLINK("https://klasma.github.io/Logging_1443/kartor_geotiff/A 30754-2023 georefererad karta.tif", "A 30754-2023")</f>
        <v/>
      </c>
      <c r="AA32">
        <f>HYPERLINK("https://klasma.github.io/Logging_1443/klagomål/A 30754-2023 FSC-klagomål.docx", "A 30754-2023")</f>
        <v/>
      </c>
      <c r="AB32">
        <f>HYPERLINK("https://klasma.github.io/Logging_1443/klagomålsmail/A 30754-2023 FSC-klagomål mail.docx", "A 30754-2023")</f>
        <v/>
      </c>
      <c r="AC32">
        <f>HYPERLINK("https://klasma.github.io/Logging_1443/tillsyn/A 30754-2023 tillsynsbegäran.docx", "A 30754-2023")</f>
        <v/>
      </c>
      <c r="AD32">
        <f>HYPERLINK("https://klasma.github.io/Logging_1443/tillsynsmail/A 30754-2023 tillsynsbegäran mail.docx", "A 30754-2023")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46321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46321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46321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46321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46321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46321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46321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46321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46321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46321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46321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54144-2022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46321</v>
      </c>
      <c r="F45" t="inlineStr">
        <is>
          <t>VÄSTRA GÖTALANDS LÄN</t>
        </is>
      </c>
      <c r="G45" t="inlineStr">
        <is>
          <t>BOLLEBYGD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46321</v>
      </c>
      <c r="F46" t="inlineStr">
        <is>
          <t>VÄSTRA GÖTALANDS LÄN</t>
        </is>
      </c>
      <c r="G46" t="inlineStr">
        <is>
          <t>BOLLEBYGD</t>
        </is>
      </c>
      <c r="H46" t="inlineStr">
        <is>
          <t>Sveaskog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46321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45288</v>
      </c>
      <c r="E48" s="1" t="n">
        <v>46321</v>
      </c>
      <c r="F48" t="inlineStr">
        <is>
          <t>VÄSTRA GÖTALANDS LÄN</t>
        </is>
      </c>
      <c r="G48" t="inlineStr">
        <is>
          <t>BOLLEBYGD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45308</v>
      </c>
      <c r="E49" s="1" t="n">
        <v>46321</v>
      </c>
      <c r="F49" t="inlineStr">
        <is>
          <t>VÄSTRA GÖTALANDS LÄN</t>
        </is>
      </c>
      <c r="G49" t="inlineStr">
        <is>
          <t>BOLLEBYGD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46321</v>
      </c>
      <c r="F50" t="inlineStr">
        <is>
          <t>VÄSTRA GÖTALANDS LÄN</t>
        </is>
      </c>
      <c r="G50" t="inlineStr">
        <is>
          <t>BOLLEBYGD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46321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46321</v>
      </c>
      <c r="F52" t="inlineStr">
        <is>
          <t>VÄSTRA GÖTALANDS LÄN</t>
        </is>
      </c>
      <c r="G52" t="inlineStr">
        <is>
          <t>BOLLEBYGD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46321</v>
      </c>
      <c r="F53" t="inlineStr">
        <is>
          <t>VÄSTRA GÖTALANDS LÄN</t>
        </is>
      </c>
      <c r="G53" t="inlineStr">
        <is>
          <t>BOLLEBYGD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46321</v>
      </c>
      <c r="F54" t="inlineStr">
        <is>
          <t>VÄSTRA GÖTALANDS LÄN</t>
        </is>
      </c>
      <c r="G54" t="inlineStr">
        <is>
          <t>BOLLEBYGD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46321</v>
      </c>
      <c r="F55" t="inlineStr">
        <is>
          <t>VÄSTRA GÖTALANDS LÄN</t>
        </is>
      </c>
      <c r="G55" t="inlineStr">
        <is>
          <t>BOLLEBYGD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46321</v>
      </c>
      <c r="F56" t="inlineStr">
        <is>
          <t>VÄSTRA GÖTALANDS LÄN</t>
        </is>
      </c>
      <c r="G56" t="inlineStr">
        <is>
          <t>BOLLEBYGD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46321</v>
      </c>
      <c r="F57" t="inlineStr">
        <is>
          <t>VÄSTRA GÖTALANDS LÄN</t>
        </is>
      </c>
      <c r="G57" t="inlineStr">
        <is>
          <t>BOLLEBYGD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46321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46321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46321</v>
      </c>
      <c r="F60" t="inlineStr">
        <is>
          <t>VÄSTRA GÖTALANDS LÄN</t>
        </is>
      </c>
      <c r="G60" t="inlineStr">
        <is>
          <t>BOLLEBYGD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46321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46321</v>
      </c>
      <c r="F62" t="inlineStr">
        <is>
          <t>VÄSTRA GÖTALANDS LÄN</t>
        </is>
      </c>
      <c r="G62" t="inlineStr">
        <is>
          <t>BOLLEBYGD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44914</v>
      </c>
      <c r="E63" s="1" t="n">
        <v>46321</v>
      </c>
      <c r="F63" t="inlineStr">
        <is>
          <t>VÄSTRA GÖTALANDS LÄN</t>
        </is>
      </c>
      <c r="G63" t="inlineStr">
        <is>
          <t>BOLLEBYGD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45276</v>
      </c>
      <c r="E64" s="1" t="n">
        <v>46321</v>
      </c>
      <c r="F64" t="inlineStr">
        <is>
          <t>VÄSTRA GÖTALANDS LÄN</t>
        </is>
      </c>
      <c r="G64" t="inlineStr">
        <is>
          <t>BOLLEBYGD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46321</v>
      </c>
      <c r="F65" t="inlineStr">
        <is>
          <t>VÄSTRA GÖTALANDS LÄN</t>
        </is>
      </c>
      <c r="G65" t="inlineStr">
        <is>
          <t>BOLLEBYGD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46321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46321</v>
      </c>
      <c r="F67" t="inlineStr">
        <is>
          <t>VÄSTRA GÖTALANDS LÄN</t>
        </is>
      </c>
      <c r="G67" t="inlineStr">
        <is>
          <t>BOLLEBYGD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46321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46321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46321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46321</v>
      </c>
      <c r="F71" t="inlineStr">
        <is>
          <t>VÄSTRA GÖTALANDS LÄN</t>
        </is>
      </c>
      <c r="G71" t="inlineStr">
        <is>
          <t>BOLLEBYGD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46321</v>
      </c>
      <c r="F72" t="inlineStr">
        <is>
          <t>VÄSTRA GÖTALANDS LÄN</t>
        </is>
      </c>
      <c r="G72" t="inlineStr">
        <is>
          <t>BOLLEBYGD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45954</v>
      </c>
      <c r="E73" s="1" t="n">
        <v>46321</v>
      </c>
      <c r="F73" t="inlineStr">
        <is>
          <t>VÄSTRA GÖTALANDS LÄN</t>
        </is>
      </c>
      <c r="G73" t="inlineStr">
        <is>
          <t>BOLLEBYGD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46321</v>
      </c>
      <c r="F74" t="inlineStr">
        <is>
          <t>VÄSTRA GÖTALANDS LÄN</t>
        </is>
      </c>
      <c r="G74" t="inlineStr">
        <is>
          <t>BOLLEBYGD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46321</v>
      </c>
      <c r="F75" t="inlineStr">
        <is>
          <t>VÄSTRA GÖTALANDS LÄN</t>
        </is>
      </c>
      <c r="G75" t="inlineStr">
        <is>
          <t>BOLLEBYGD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44914</v>
      </c>
      <c r="E76" s="1" t="n">
        <v>46321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46321</v>
      </c>
      <c r="F77" t="inlineStr">
        <is>
          <t>VÄSTRA GÖTALANDS LÄN</t>
        </is>
      </c>
      <c r="G77" t="inlineStr">
        <is>
          <t>BOLLEBYGD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46321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45310</v>
      </c>
      <c r="E79" s="1" t="n">
        <v>46321</v>
      </c>
      <c r="F79" t="inlineStr">
        <is>
          <t>VÄSTRA GÖTALANDS LÄN</t>
        </is>
      </c>
      <c r="G79" t="inlineStr">
        <is>
          <t>BOLLEBYGD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46321</v>
      </c>
      <c r="F80" t="inlineStr">
        <is>
          <t>VÄSTRA GÖTALANDS LÄN</t>
        </is>
      </c>
      <c r="G80" t="inlineStr">
        <is>
          <t>BOLLEBYGD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46321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46321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45248</v>
      </c>
      <c r="E83" s="1" t="n">
        <v>46321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46321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46321</v>
      </c>
      <c r="F85" t="inlineStr">
        <is>
          <t>VÄSTRA GÖTALANDS LÄN</t>
        </is>
      </c>
      <c r="G85" t="inlineStr">
        <is>
          <t>BOLLEBYGD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46321</v>
      </c>
      <c r="F86" t="inlineStr">
        <is>
          <t>VÄSTRA GÖTALANDS LÄN</t>
        </is>
      </c>
      <c r="G86" t="inlineStr">
        <is>
          <t>BOLLEBYGD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46321</v>
      </c>
      <c r="F87" t="inlineStr">
        <is>
          <t>VÄSTRA GÖTALANDS LÄN</t>
        </is>
      </c>
      <c r="G87" t="inlineStr">
        <is>
          <t>BOLLEBYGD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46321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46321</v>
      </c>
      <c r="F89" t="inlineStr">
        <is>
          <t>VÄSTRA GÖTALANDS LÄN</t>
        </is>
      </c>
      <c r="G89" t="inlineStr">
        <is>
          <t>BOLLEBYGD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46321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46321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46321</v>
      </c>
      <c r="F92" t="inlineStr">
        <is>
          <t>VÄSTRA GÖTALANDS LÄN</t>
        </is>
      </c>
      <c r="G92" t="inlineStr">
        <is>
          <t>BOLLEBYGD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45994</v>
      </c>
      <c r="E93" s="1" t="n">
        <v>46321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46321</v>
      </c>
      <c r="F94" t="inlineStr">
        <is>
          <t>VÄSTRA GÖTALANDS LÄN</t>
        </is>
      </c>
      <c r="G94" t="inlineStr">
        <is>
          <t>BOLLEBYGD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46321</v>
      </c>
      <c r="F95" t="inlineStr">
        <is>
          <t>VÄSTRA GÖTALANDS LÄN</t>
        </is>
      </c>
      <c r="G95" t="inlineStr">
        <is>
          <t>BOLLEBYGD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46321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46231</v>
      </c>
      <c r="E97" s="1" t="n">
        <v>46321</v>
      </c>
      <c r="F97" t="inlineStr">
        <is>
          <t>VÄSTRA GÖTALANDS LÄN</t>
        </is>
      </c>
      <c r="G97" t="inlineStr">
        <is>
          <t>BOLLEBYGD</t>
        </is>
      </c>
      <c r="H97" t="inlineStr">
        <is>
          <t>Kyrkan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45784</v>
      </c>
      <c r="E98" s="1" t="n">
        <v>46321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46321</v>
      </c>
      <c r="F99" t="inlineStr">
        <is>
          <t>VÄSTRA GÖTALANDS LÄN</t>
        </is>
      </c>
      <c r="G99" t="inlineStr">
        <is>
          <t>BOLLEBYGD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46321</v>
      </c>
      <c r="F100" t="inlineStr">
        <is>
          <t>VÄSTRA GÖTALANDS LÄN</t>
        </is>
      </c>
      <c r="G100" t="inlineStr">
        <is>
          <t>BOLLEBYGD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46321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46321</v>
      </c>
      <c r="F102" t="inlineStr">
        <is>
          <t>VÄSTRA GÖTALANDS LÄN</t>
        </is>
      </c>
      <c r="G102" t="inlineStr">
        <is>
          <t>BOLLEBYGD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46321</v>
      </c>
      <c r="F103" t="inlineStr">
        <is>
          <t>VÄSTRA GÖTALANDS LÄN</t>
        </is>
      </c>
      <c r="G103" t="inlineStr">
        <is>
          <t>BOLLEBYGD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46321</v>
      </c>
      <c r="F104" t="inlineStr">
        <is>
          <t>VÄSTRA GÖTALANDS LÄN</t>
        </is>
      </c>
      <c r="G104" t="inlineStr">
        <is>
          <t>BOLLEBYGD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46321</v>
      </c>
      <c r="F105" t="inlineStr">
        <is>
          <t>VÄSTRA GÖTALANDS LÄN</t>
        </is>
      </c>
      <c r="G105" t="inlineStr">
        <is>
          <t>BOLLEBYGD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46283</v>
      </c>
      <c r="E106" s="1" t="n">
        <v>46321</v>
      </c>
      <c r="F106" t="inlineStr">
        <is>
          <t>VÄSTRA GÖTALANDS LÄN</t>
        </is>
      </c>
      <c r="G106" t="inlineStr">
        <is>
          <t>BOLLEBYGD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46283</v>
      </c>
      <c r="E107" s="1" t="n">
        <v>46321</v>
      </c>
      <c r="F107" t="inlineStr">
        <is>
          <t>VÄSTRA GÖTALANDS LÄN</t>
        </is>
      </c>
      <c r="G107" t="inlineStr">
        <is>
          <t>BOLLEBYGD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46321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46288</v>
      </c>
      <c r="E109" s="1" t="n">
        <v>46321</v>
      </c>
      <c r="F109" t="inlineStr">
        <is>
          <t>VÄSTRA GÖTALANDS LÄN</t>
        </is>
      </c>
      <c r="G109" t="inlineStr">
        <is>
          <t>BOLLEBYGD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46321</v>
      </c>
      <c r="F110" t="inlineStr">
        <is>
          <t>VÄSTRA GÖTALANDS LÄN</t>
        </is>
      </c>
      <c r="G110" t="inlineStr">
        <is>
          <t>BOLLEBYGD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46321</v>
      </c>
      <c r="F111" t="inlineStr">
        <is>
          <t>VÄSTRA GÖTALANDS LÄN</t>
        </is>
      </c>
      <c r="G111" t="inlineStr">
        <is>
          <t>BOLLEBYGD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46321</v>
      </c>
      <c r="F112" t="inlineStr">
        <is>
          <t>VÄSTRA GÖTALANDS LÄN</t>
        </is>
      </c>
      <c r="G112" t="inlineStr">
        <is>
          <t>BOLLEBYGD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46321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46290</v>
      </c>
      <c r="E114" s="1" t="n">
        <v>46321</v>
      </c>
      <c r="F114" t="inlineStr">
        <is>
          <t>VÄSTRA GÖTALANDS LÄN</t>
        </is>
      </c>
      <c r="G114" t="inlineStr">
        <is>
          <t>BOLLEBYGD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46321</v>
      </c>
      <c r="F115" t="inlineStr">
        <is>
          <t>VÄSTRA GÖTALANDS LÄN</t>
        </is>
      </c>
      <c r="G115" t="inlineStr">
        <is>
          <t>BOLLEBYGD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46052</v>
      </c>
      <c r="E116" s="1" t="n">
        <v>46321</v>
      </c>
      <c r="F116" t="inlineStr">
        <is>
          <t>VÄSTRA GÖTALANDS LÄN</t>
        </is>
      </c>
      <c r="G116" t="inlineStr">
        <is>
          <t>BOLLEBYGD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46321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46321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46290</v>
      </c>
      <c r="E119" s="1" t="n">
        <v>46321</v>
      </c>
      <c r="F119" t="inlineStr">
        <is>
          <t>VÄSTRA GÖTALANDS LÄN</t>
        </is>
      </c>
      <c r="G119" t="inlineStr">
        <is>
          <t>BOLLEBYGD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46290</v>
      </c>
      <c r="E120" s="1" t="n">
        <v>46321</v>
      </c>
      <c r="F120" t="inlineStr">
        <is>
          <t>VÄSTRA GÖTALANDS LÄN</t>
        </is>
      </c>
      <c r="G120" t="inlineStr">
        <is>
          <t>BOLLEBYGD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46321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46321</v>
      </c>
      <c r="F122" t="inlineStr">
        <is>
          <t>VÄSTRA GÖTALANDS LÄN</t>
        </is>
      </c>
      <c r="G122" t="inlineStr">
        <is>
          <t>BOLLEBYGD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46321</v>
      </c>
      <c r="F123" t="inlineStr">
        <is>
          <t>VÄSTRA GÖTALANDS LÄN</t>
        </is>
      </c>
      <c r="G123" t="inlineStr">
        <is>
          <t>BOLLEBYGD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46321</v>
      </c>
      <c r="F124" t="inlineStr">
        <is>
          <t>VÄSTRA GÖTALANDS LÄN</t>
        </is>
      </c>
      <c r="G124" t="inlineStr">
        <is>
          <t>BOLLEBYGD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46321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46321</v>
      </c>
      <c r="F126" t="inlineStr">
        <is>
          <t>VÄSTRA GÖTALANDS LÄN</t>
        </is>
      </c>
      <c r="G126" t="inlineStr">
        <is>
          <t>BOLLEBYGD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46321</v>
      </c>
      <c r="F127" t="inlineStr">
        <is>
          <t>VÄSTRA GÖTALANDS LÄN</t>
        </is>
      </c>
      <c r="G127" t="inlineStr">
        <is>
          <t>BOLLEBYGD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46321</v>
      </c>
      <c r="F128" t="inlineStr">
        <is>
          <t>VÄSTRA GÖTALANDS LÄN</t>
        </is>
      </c>
      <c r="G128" t="inlineStr">
        <is>
          <t>BOLLEBYGD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46321</v>
      </c>
      <c r="F129" t="inlineStr">
        <is>
          <t>VÄSTRA GÖTALANDS LÄN</t>
        </is>
      </c>
      <c r="G129" t="inlineStr">
        <is>
          <t>BOLLEBYGD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46321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46321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46321</v>
      </c>
      <c r="F132" t="inlineStr">
        <is>
          <t>VÄSTRA GÖTALANDS LÄN</t>
        </is>
      </c>
      <c r="G132" t="inlineStr">
        <is>
          <t>BOLLEBYGD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46321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46321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46321</v>
      </c>
      <c r="F135" t="inlineStr">
        <is>
          <t>VÄSTRA GÖTALANDS LÄN</t>
        </is>
      </c>
      <c r="G135" t="inlineStr">
        <is>
          <t>BOLLEBYGD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46321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46321</v>
      </c>
      <c r="F137" t="inlineStr">
        <is>
          <t>VÄSTRA GÖTALANDS LÄN</t>
        </is>
      </c>
      <c r="G137" t="inlineStr">
        <is>
          <t>BOLLEBYGD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46321</v>
      </c>
      <c r="F138" t="inlineStr">
        <is>
          <t>VÄSTRA GÖTALANDS LÄN</t>
        </is>
      </c>
      <c r="G138" t="inlineStr">
        <is>
          <t>BOLLEBYGD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45836</v>
      </c>
      <c r="E139" s="1" t="n">
        <v>46321</v>
      </c>
      <c r="F139" t="inlineStr">
        <is>
          <t>VÄSTRA GÖTALANDS LÄN</t>
        </is>
      </c>
      <c r="G139" t="inlineStr">
        <is>
          <t>BOLLEBYGD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46092</v>
      </c>
      <c r="E140" s="1" t="n">
        <v>46321</v>
      </c>
      <c r="F140" t="inlineStr">
        <is>
          <t>VÄSTRA GÖTALANDS LÄN</t>
        </is>
      </c>
      <c r="G140" t="inlineStr">
        <is>
          <t>BOLLEBYGD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46321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14111-2026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46321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14545-2026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46100</v>
      </c>
      <c r="E143" s="1" t="n">
        <v>46321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46321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46321</v>
      </c>
      <c r="F145" t="inlineStr">
        <is>
          <t>VÄSTRA GÖTALANDS LÄN</t>
        </is>
      </c>
      <c r="G145" t="inlineStr">
        <is>
          <t>BOLLEBYGD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46321</v>
      </c>
      <c r="F146" t="inlineStr">
        <is>
          <t>VÄSTRA GÖTALANDS LÄN</t>
        </is>
      </c>
      <c r="G146" t="inlineStr">
        <is>
          <t>BOLLEBYGD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46259</v>
      </c>
      <c r="E147" s="1" t="n">
        <v>46321</v>
      </c>
      <c r="F147" t="inlineStr">
        <is>
          <t>VÄSTRA GÖTALANDS LÄN</t>
        </is>
      </c>
      <c r="G147" t="inlineStr">
        <is>
          <t>BOLLEBYGD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46321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46321</v>
      </c>
      <c r="F149" t="inlineStr">
        <is>
          <t>VÄSTRA GÖTALANDS LÄN</t>
        </is>
      </c>
      <c r="G149" t="inlineStr">
        <is>
          <t>BOLLEBYGD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46321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46321</v>
      </c>
      <c r="F151" t="inlineStr">
        <is>
          <t>VÄSTRA GÖTALANDS LÄN</t>
        </is>
      </c>
      <c r="G151" t="inlineStr">
        <is>
          <t>BOLLEBYGD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46321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28158-2024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45476</v>
      </c>
      <c r="E153" s="1" t="n">
        <v>46321</v>
      </c>
      <c r="F153" t="inlineStr">
        <is>
          <t>VÄSTRA GÖTALANDS LÄN</t>
        </is>
      </c>
      <c r="G153" t="inlineStr">
        <is>
          <t>BOLLEBYGD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46321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46321</v>
      </c>
      <c r="F155" t="inlineStr">
        <is>
          <t>VÄSTRA GÖTALANDS LÄN</t>
        </is>
      </c>
      <c r="G155" t="inlineStr">
        <is>
          <t>BOLLEBYGD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46321</v>
      </c>
      <c r="F156" t="inlineStr">
        <is>
          <t>VÄSTRA GÖTALANDS LÄN</t>
        </is>
      </c>
      <c r="G156" t="inlineStr">
        <is>
          <t>BOLLEBYGD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31546-2022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44775</v>
      </c>
      <c r="E157" s="1" t="n">
        <v>46321</v>
      </c>
      <c r="F157" t="inlineStr">
        <is>
          <t>VÄSTRA GÖTALANDS LÄN</t>
        </is>
      </c>
      <c r="G157" t="inlineStr">
        <is>
          <t>BOLLEBYGD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46321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45453</v>
      </c>
      <c r="E159" s="1" t="n">
        <v>46321</v>
      </c>
      <c r="F159" t="inlineStr">
        <is>
          <t>VÄSTRA GÖTALANDS LÄN</t>
        </is>
      </c>
      <c r="G159" t="inlineStr">
        <is>
          <t>BOLLEBYGD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45696</v>
      </c>
      <c r="E160" s="1" t="n">
        <v>46321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46321</v>
      </c>
      <c r="F161" t="inlineStr">
        <is>
          <t>VÄSTRA GÖTALANDS LÄN</t>
        </is>
      </c>
      <c r="G161" t="inlineStr">
        <is>
          <t>BOLLEBYGD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45358</v>
      </c>
      <c r="E162" s="1" t="n">
        <v>46321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46321</v>
      </c>
      <c r="F163" t="inlineStr">
        <is>
          <t>VÄSTRA GÖTALANDS LÄN</t>
        </is>
      </c>
      <c r="G163" t="inlineStr">
        <is>
          <t>BOLLEBYGD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46321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46309</v>
      </c>
      <c r="E165" s="1" t="n">
        <v>46321</v>
      </c>
      <c r="F165" t="inlineStr">
        <is>
          <t>VÄSTRA GÖTALANDS LÄN</t>
        </is>
      </c>
      <c r="G165" t="inlineStr">
        <is>
          <t>BOLLEBYGD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46309</v>
      </c>
      <c r="E166" s="1" t="n">
        <v>46321</v>
      </c>
      <c r="F166" t="inlineStr">
        <is>
          <t>VÄSTRA GÖTALANDS LÄN</t>
        </is>
      </c>
      <c r="G166" t="inlineStr">
        <is>
          <t>BOLLEBYGD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46321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46321</v>
      </c>
      <c r="F168" t="inlineStr">
        <is>
          <t>VÄSTRA GÖTALANDS LÄN</t>
        </is>
      </c>
      <c r="G168" t="inlineStr">
        <is>
          <t>BOLLEBYGD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46321</v>
      </c>
      <c r="F169" t="inlineStr">
        <is>
          <t>VÄSTRA GÖTALANDS LÄN</t>
        </is>
      </c>
      <c r="G169" t="inlineStr">
        <is>
          <t>BOLLEBYGD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46321</v>
      </c>
      <c r="F170" t="inlineStr">
        <is>
          <t>VÄSTRA GÖTALANDS LÄN</t>
        </is>
      </c>
      <c r="G170" t="inlineStr">
        <is>
          <t>BOLLEBYGD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46321</v>
      </c>
      <c r="F171" t="inlineStr">
        <is>
          <t>VÄSTRA GÖTALANDS LÄN</t>
        </is>
      </c>
      <c r="G171" t="inlineStr">
        <is>
          <t>BOLLEBYGD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46311</v>
      </c>
      <c r="E172" s="1" t="n">
        <v>46321</v>
      </c>
      <c r="F172" t="inlineStr">
        <is>
          <t>VÄSTRA GÖTALANDS LÄN</t>
        </is>
      </c>
      <c r="G172" t="inlineStr">
        <is>
          <t>BOLLEBYGD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46321</v>
      </c>
      <c r="F173" t="inlineStr">
        <is>
          <t>VÄSTRA GÖTALANDS LÄN</t>
        </is>
      </c>
      <c r="G173" t="inlineStr">
        <is>
          <t>BOLLEBYGD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46316</v>
      </c>
      <c r="E174" s="1" t="n">
        <v>46321</v>
      </c>
      <c r="F174" t="inlineStr">
        <is>
          <t>VÄSTRA GÖTALANDS LÄN</t>
        </is>
      </c>
      <c r="G174" t="inlineStr">
        <is>
          <t>BOLLEBYGD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46321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46321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46321</v>
      </c>
      <c r="F177" t="inlineStr">
        <is>
          <t>VÄSTRA GÖTALANDS LÄN</t>
        </is>
      </c>
      <c r="G177" t="inlineStr">
        <is>
          <t>BOLLEBYGD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46321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46321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46321</v>
      </c>
      <c r="F180" t="inlineStr">
        <is>
          <t>VÄSTRA GÖTALANDS LÄN</t>
        </is>
      </c>
      <c r="G180" t="inlineStr">
        <is>
          <t>BOLLEBYGD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46321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46321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46321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17434-2026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46120</v>
      </c>
      <c r="E184" s="1" t="n">
        <v>46321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46321</v>
      </c>
      <c r="F185" t="inlineStr">
        <is>
          <t>VÄSTRA GÖTALANDS LÄN</t>
        </is>
      </c>
      <c r="G185" t="inlineStr">
        <is>
          <t>BOLLEBYGD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46321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46321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46321</v>
      </c>
      <c r="F188" t="inlineStr">
        <is>
          <t>VÄSTRA GÖTALANDS LÄN</t>
        </is>
      </c>
      <c r="G188" t="inlineStr">
        <is>
          <t>BOLLEBYGD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46321</v>
      </c>
      <c r="F189" t="inlineStr">
        <is>
          <t>VÄSTRA GÖTALANDS LÄN</t>
        </is>
      </c>
      <c r="G189" t="inlineStr">
        <is>
          <t>BOLLEBYGD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46321</v>
      </c>
      <c r="F190" t="inlineStr">
        <is>
          <t>VÄSTRA GÖTALANDS LÄN</t>
        </is>
      </c>
      <c r="G190" t="inlineStr">
        <is>
          <t>BOLLEBYGD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46321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46321</v>
      </c>
      <c r="F192" t="inlineStr">
        <is>
          <t>VÄSTRA GÖTALANDS LÄN</t>
        </is>
      </c>
      <c r="G192" t="inlineStr">
        <is>
          <t>BOLLEBYGD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46321</v>
      </c>
      <c r="F193" t="inlineStr">
        <is>
          <t>VÄSTRA GÖTALANDS LÄN</t>
        </is>
      </c>
      <c r="G193" t="inlineStr">
        <is>
          <t>BOLLEBYGD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46321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46321</v>
      </c>
      <c r="F195" t="inlineStr">
        <is>
          <t>VÄSTRA GÖTALANDS LÄN</t>
        </is>
      </c>
      <c r="G195" t="inlineStr">
        <is>
          <t>BOLLEBYGD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46321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45219</v>
      </c>
      <c r="E197" s="1" t="n">
        <v>46321</v>
      </c>
      <c r="F197" t="inlineStr">
        <is>
          <t>VÄSTRA GÖTALANDS LÄN</t>
        </is>
      </c>
      <c r="G197" t="inlineStr">
        <is>
          <t>BOLLEBYGD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46321</v>
      </c>
      <c r="F198" t="inlineStr">
        <is>
          <t>VÄSTRA GÖTALANDS LÄN</t>
        </is>
      </c>
      <c r="G198" t="inlineStr">
        <is>
          <t>BOLLEBYGD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46321</v>
      </c>
      <c r="F199" t="inlineStr">
        <is>
          <t>VÄSTRA GÖTALANDS LÄN</t>
        </is>
      </c>
      <c r="G199" t="inlineStr">
        <is>
          <t>BOLLEBYGD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46321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46321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67455-2021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46321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46321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46321</v>
      </c>
      <c r="F204" t="inlineStr">
        <is>
          <t>VÄSTRA GÖTALANDS LÄN</t>
        </is>
      </c>
      <c r="G204" t="inlineStr">
        <is>
          <t>BOLLEBYGD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46321</v>
      </c>
      <c r="F205" t="inlineStr">
        <is>
          <t>VÄSTRA GÖTALANDS LÄN</t>
        </is>
      </c>
      <c r="G205" t="inlineStr">
        <is>
          <t>BOLLEBYGD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46321</v>
      </c>
      <c r="F206" t="inlineStr">
        <is>
          <t>VÄSTRA GÖTALANDS LÄN</t>
        </is>
      </c>
      <c r="G206" t="inlineStr">
        <is>
          <t>BOLLEBYGD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46321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46321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46321</v>
      </c>
      <c r="F209" t="inlineStr">
        <is>
          <t>VÄSTRA GÖTALANDS LÄN</t>
        </is>
      </c>
      <c r="G209" t="inlineStr">
        <is>
          <t>BOLLEBYGD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46321</v>
      </c>
      <c r="F210" t="inlineStr">
        <is>
          <t>VÄSTRA GÖTALANDS LÄN</t>
        </is>
      </c>
      <c r="G210" t="inlineStr">
        <is>
          <t>BOLLEBYGD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46321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45308</v>
      </c>
      <c r="E212" s="1" t="n">
        <v>46321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46321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65118-2023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46321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46321</v>
      </c>
      <c r="F215" t="inlineStr">
        <is>
          <t>VÄSTRA GÖTALANDS LÄN</t>
        </is>
      </c>
      <c r="G215" t="inlineStr">
        <is>
          <t>BOLLEBYGD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46321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46321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59816-2021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44494</v>
      </c>
      <c r="E218" s="1" t="n">
        <v>46321</v>
      </c>
      <c r="F218" t="inlineStr">
        <is>
          <t>VÄSTRA GÖTALANDS LÄN</t>
        </is>
      </c>
      <c r="G218" t="inlineStr">
        <is>
          <t>BOLLEBYGD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6745-2023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44966</v>
      </c>
      <c r="E219" s="1" t="n">
        <v>46321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46321</v>
      </c>
      <c r="F220" t="inlineStr">
        <is>
          <t>VÄSTRA GÖTALANDS LÄN</t>
        </is>
      </c>
      <c r="G220" t="inlineStr">
        <is>
          <t>BOLLEBYGD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46321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46321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46321</v>
      </c>
      <c r="F223" t="inlineStr">
        <is>
          <t>VÄSTRA GÖTALANDS LÄN</t>
        </is>
      </c>
      <c r="G223" t="inlineStr">
        <is>
          <t>BOLLEBYGD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46321</v>
      </c>
      <c r="F224" t="inlineStr">
        <is>
          <t>VÄSTRA GÖTALANDS LÄN</t>
        </is>
      </c>
      <c r="G224" t="inlineStr">
        <is>
          <t>BOLLEBYGD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46321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46321</v>
      </c>
      <c r="F226" t="inlineStr">
        <is>
          <t>VÄSTRA GÖTALANDS LÄN</t>
        </is>
      </c>
      <c r="G226" t="inlineStr">
        <is>
          <t>BOLLEBYGD</t>
        </is>
      </c>
      <c r="I226" t="n">
        <v>12.4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46321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46321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46321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46321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6653-2022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46321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45117</v>
      </c>
      <c r="E232" s="1" t="n">
        <v>46321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46321</v>
      </c>
      <c r="F233" t="inlineStr">
        <is>
          <t>VÄSTRA GÖTALANDS LÄN</t>
        </is>
      </c>
      <c r="G233" t="inlineStr">
        <is>
          <t>BOLLEBYGD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46321</v>
      </c>
      <c r="F234" t="inlineStr">
        <is>
          <t>VÄSTRA GÖTALANDS LÄN</t>
        </is>
      </c>
      <c r="G234" t="inlineStr">
        <is>
          <t>BOLLEBYGD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44708</v>
      </c>
      <c r="E235" s="1" t="n">
        <v>46321</v>
      </c>
      <c r="F235" t="inlineStr">
        <is>
          <t>VÄSTRA GÖTALANDS LÄN</t>
        </is>
      </c>
      <c r="G235" t="inlineStr">
        <is>
          <t>BOLLEBYGD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46321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46321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46321</v>
      </c>
      <c r="F238" t="inlineStr">
        <is>
          <t>VÄSTRA GÖTALANDS LÄN</t>
        </is>
      </c>
      <c r="G238" t="inlineStr">
        <is>
          <t>BOLLEBYGD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46321</v>
      </c>
      <c r="F239" t="inlineStr">
        <is>
          <t>VÄSTRA GÖTALANDS LÄN</t>
        </is>
      </c>
      <c r="G239" t="inlineStr">
        <is>
          <t>BOLLEBYGD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46321</v>
      </c>
      <c r="F240" t="inlineStr">
        <is>
          <t>VÄSTRA GÖTALANDS LÄN</t>
        </is>
      </c>
      <c r="G240" t="inlineStr">
        <is>
          <t>BOLLEBYGD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46321</v>
      </c>
      <c r="F241" t="inlineStr">
        <is>
          <t>VÄSTRA GÖTALANDS LÄN</t>
        </is>
      </c>
      <c r="G241" t="inlineStr">
        <is>
          <t>BOLLEBYGD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46321</v>
      </c>
      <c r="F242" t="inlineStr">
        <is>
          <t>VÄSTRA GÖTALANDS LÄN</t>
        </is>
      </c>
      <c r="G242" t="inlineStr">
        <is>
          <t>BOLLEBYGD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2751-2025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45934</v>
      </c>
      <c r="E243" s="1" t="n">
        <v>46321</v>
      </c>
      <c r="F243" t="inlineStr">
        <is>
          <t>VÄSTRA GÖTALANDS LÄN</t>
        </is>
      </c>
      <c r="G243" t="inlineStr">
        <is>
          <t>BOLLEBYGD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1396-2026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46154</v>
      </c>
      <c r="E244" s="1" t="n">
        <v>46321</v>
      </c>
      <c r="F244" t="inlineStr">
        <is>
          <t>VÄSTRA GÖTALANDS LÄN</t>
        </is>
      </c>
      <c r="G244" t="inlineStr">
        <is>
          <t>BOLLEBYGD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2143-2026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46246</v>
      </c>
      <c r="E245" s="1" t="n">
        <v>46321</v>
      </c>
      <c r="F245" t="inlineStr">
        <is>
          <t>VÄSTRA GÖTALANDS LÄN</t>
        </is>
      </c>
      <c r="G245" t="inlineStr">
        <is>
          <t>BOLLEBYGD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2026-10-26T03:11:51Z</dcterms:created>
  <dcterms:modified xmlns:dcterms="http://purl.org/dc/terms/" xmlns:xsi="http://www.w3.org/2001/XMLSchema-instance" xsi:type="dcterms:W3CDTF">2026-10-26T03:11:51Z</dcterms:modified>
</cp:coreProperties>
</file>