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46292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46292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46292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46292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46292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46292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46292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46292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46292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46292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46292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46292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46292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46292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46292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30666-2023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46292</v>
      </c>
      <c r="F18" t="inlineStr">
        <is>
          <t>VÄSTRA GÖTALANDS LÄN</t>
        </is>
      </c>
      <c r="G18" t="inlineStr">
        <is>
          <t>BOLLEBYGD</t>
        </is>
      </c>
      <c r="I18" t="n">
        <v>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Talltita
Tjäder</t>
        </is>
      </c>
      <c r="W18">
        <f>HYPERLINK("https://klasma.github.io/Logging_1443/artfynd/A 30666-2023 artfynd.xlsx", "A 30666-2023")</f>
        <v/>
      </c>
      <c r="X18">
        <f>HYPERLINK("https://klasma.github.io/Logging_1443/kartor/A 30666-2023 karta.png", "A 30666-2023")</f>
        <v/>
      </c>
      <c r="Y18">
        <f>HYPERLINK("https://klasma.github.io/Logging_1443/kartor_geotiff/A 30666-2023 georefererad karta.tif", "A 30666-2023")</f>
        <v/>
      </c>
      <c r="AA18">
        <f>HYPERLINK("https://klasma.github.io/Logging_1443/klagomål/A 30666-2023 FSC-klagomål.docx", "A 30666-2023")</f>
        <v/>
      </c>
      <c r="AB18">
        <f>HYPERLINK("https://klasma.github.io/Logging_1443/klagomålsmail/A 30666-2023 FSC-klagomål mail.docx", "A 30666-2023")</f>
        <v/>
      </c>
      <c r="AC18">
        <f>HYPERLINK("https://klasma.github.io/Logging_1443/tillsyn/A 30666-2023 tillsynsbegäran.docx", "A 30666-2023")</f>
        <v/>
      </c>
      <c r="AD18">
        <f>HYPERLINK("https://klasma.github.io/Logging_1443/tillsynsmail/A 30666-2023 tillsynsbegäran mail.docx", "A 30666-2023")</f>
        <v/>
      </c>
      <c r="AE18">
        <f>HYPERLINK("https://klasma.github.io/Logging_1443/fåglar/A 30666-2023 prioriterade fågelarter.docx", "A 30666-2023")</f>
        <v/>
      </c>
    </row>
    <row r="19" ht="15" customHeight="1">
      <c r="A19" t="inlineStr">
        <is>
          <t>A 30792-2023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46292</v>
      </c>
      <c r="F19" t="inlineStr">
        <is>
          <t>VÄSTRA GÖTALANDS LÄN</t>
        </is>
      </c>
      <c r="G19" t="inlineStr">
        <is>
          <t>BOLLEBYGD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Kungsfågel
Ärtsångare</t>
        </is>
      </c>
      <c r="W19">
        <f>HYPERLINK("https://klasma.github.io/Logging_1443/artfynd/A 30792-2023 artfynd.xlsx", "A 30792-2023")</f>
        <v/>
      </c>
      <c r="X19">
        <f>HYPERLINK("https://klasma.github.io/Logging_1443/kartor/A 30792-2023 karta.png", "A 30792-2023")</f>
        <v/>
      </c>
      <c r="Y19">
        <f>HYPERLINK("https://klasma.github.io/Logging_1443/kartor_geotiff/A 30792-2023 georefererad karta.tif", "A 30792-2023")</f>
        <v/>
      </c>
      <c r="AA19">
        <f>HYPERLINK("https://klasma.github.io/Logging_1443/klagomål/A 30792-2023 FSC-klagomål.docx", "A 30792-2023")</f>
        <v/>
      </c>
      <c r="AB19">
        <f>HYPERLINK("https://klasma.github.io/Logging_1443/klagomålsmail/A 30792-2023 FSC-klagomål mail.docx", "A 30792-2023")</f>
        <v/>
      </c>
      <c r="AC19">
        <f>HYPERLINK("https://klasma.github.io/Logging_1443/tillsyn/A 30792-2023 tillsynsbegäran.docx", "A 30792-2023")</f>
        <v/>
      </c>
      <c r="AD19">
        <f>HYPERLINK("https://klasma.github.io/Logging_1443/tillsynsmail/A 30792-2023 tillsynsbegäran mail.docx", "A 30792-2023")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46292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46292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46292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18822-2026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46128</v>
      </c>
      <c r="E23" s="1" t="n">
        <v>46292</v>
      </c>
      <c r="F23" t="inlineStr">
        <is>
          <t>VÄSTRA GÖTALANDS LÄN</t>
        </is>
      </c>
      <c r="G23" t="inlineStr">
        <is>
          <t>BOLLEBYGD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HYPERLINK("https://klasma.github.io/Logging_1443/artfynd/A 18822-2026 artfynd.xlsx", "A 18822-2026")</f>
        <v/>
      </c>
      <c r="X23">
        <f>HYPERLINK("https://klasma.github.io/Logging_1443/kartor/A 18822-2026 karta.png", "A 18822-2026")</f>
        <v/>
      </c>
      <c r="Y23">
        <f>HYPERLINK("https://klasma.github.io/Logging_1443/kartor_geotiff/A 18822-2026 georefererad karta.tif", "A 18822-2026")</f>
        <v/>
      </c>
      <c r="AA23">
        <f>HYPERLINK("https://klasma.github.io/Logging_1443/klagomål/A 18822-2026 FSC-klagomål.docx", "A 18822-2026")</f>
        <v/>
      </c>
      <c r="AB23">
        <f>HYPERLINK("https://klasma.github.io/Logging_1443/klagomålsmail/A 18822-2026 FSC-klagomål mail.docx", "A 18822-2026")</f>
        <v/>
      </c>
      <c r="AC23">
        <f>HYPERLINK("https://klasma.github.io/Logging_1443/tillsyn/A 18822-2026 tillsynsbegäran.docx", "A 18822-2026")</f>
        <v/>
      </c>
      <c r="AD23">
        <f>HYPERLINK("https://klasma.github.io/Logging_1443/tillsynsmail/A 18822-2026 tillsynsbegäran mail.docx", "A 18822-2026")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46292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46292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Fällmossa</t>
        </is>
      </c>
      <c r="W25">
        <f>HYPERLINK("https://klasma.github.io/Logging_1443/artfynd/A 32503-2025 artfynd.xlsx", "A 32503-2025")</f>
        <v/>
      </c>
      <c r="X25">
        <f>HYPERLINK("https://klasma.github.io/Logging_1443/kartor/A 32503-2025 karta.png", "A 32503-2025")</f>
        <v/>
      </c>
      <c r="Y25">
        <f>HYPERLINK("https://klasma.github.io/Logging_1443/kartor_geotiff/A 32503-2025 georefererad karta.tif", "A 32503-2025")</f>
        <v/>
      </c>
      <c r="AA25">
        <f>HYPERLINK("https://klasma.github.io/Logging_1443/klagomål/A 32503-2025 FSC-klagomål.docx", "A 32503-2025")</f>
        <v/>
      </c>
      <c r="AB25">
        <f>HYPERLINK("https://klasma.github.io/Logging_1443/klagomålsmail/A 32503-2025 FSC-klagomål mail.docx", "A 32503-2025")</f>
        <v/>
      </c>
      <c r="AC25">
        <f>HYPERLINK("https://klasma.github.io/Logging_1443/tillsyn/A 32503-2025 tillsynsbegäran.docx", "A 32503-2025")</f>
        <v/>
      </c>
      <c r="AD25">
        <f>HYPERLINK("https://klasma.github.io/Logging_1443/tillsynsmail/A 32503-2025 tillsynsbegäran mail.docx", "A 32503-2025")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46292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46292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46292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46292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46292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46292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46292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46292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46292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46292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46292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46292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46292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46292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46292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46292</v>
      </c>
      <c r="F49" t="inlineStr">
        <is>
          <t>VÄSTRA GÖTALANDS LÄN</t>
        </is>
      </c>
      <c r="G49" t="inlineStr">
        <is>
          <t>BOLLEBYGD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46292</v>
      </c>
      <c r="F50" t="inlineStr">
        <is>
          <t>VÄSTRA GÖTALANDS LÄN</t>
        </is>
      </c>
      <c r="G50" t="inlineStr">
        <is>
          <t>BOLLEBYGD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46292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46292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46292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46292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46292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46292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46292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46292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46292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46292</v>
      </c>
      <c r="F60" t="inlineStr">
        <is>
          <t>VÄSTRA GÖTALANDS LÄN</t>
        </is>
      </c>
      <c r="G60" t="inlineStr">
        <is>
          <t>BOLLEBYGD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46292</v>
      </c>
      <c r="F61" t="inlineStr">
        <is>
          <t>VÄSTRA GÖTALANDS LÄN</t>
        </is>
      </c>
      <c r="G61" t="inlineStr">
        <is>
          <t>BOLLEBYGD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46292</v>
      </c>
      <c r="F62" t="inlineStr">
        <is>
          <t>VÄSTRA GÖTALANDS LÄN</t>
        </is>
      </c>
      <c r="G62" t="inlineStr">
        <is>
          <t>BOLLEBYGD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46292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46292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46292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46292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Kyrkan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46292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46292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46292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23330-2024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45453</v>
      </c>
      <c r="E70" s="1" t="n">
        <v>46292</v>
      </c>
      <c r="F70" t="inlineStr">
        <is>
          <t>VÄSTRA GÖTALANDS LÄN</t>
        </is>
      </c>
      <c r="G70" t="inlineStr">
        <is>
          <t>BOLLEBYGD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46292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46292</v>
      </c>
      <c r="F72" t="inlineStr">
        <is>
          <t>VÄSTRA GÖTALANDS LÄN</t>
        </is>
      </c>
      <c r="G72" t="inlineStr">
        <is>
          <t>BOLLEBYGD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46292</v>
      </c>
      <c r="F73" t="inlineStr">
        <is>
          <t>VÄSTRA GÖTALANDS LÄN</t>
        </is>
      </c>
      <c r="G73" t="inlineStr">
        <is>
          <t>BOLLEBYGD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46292</v>
      </c>
      <c r="F74" t="inlineStr">
        <is>
          <t>VÄSTRA GÖTALANDS LÄN</t>
        </is>
      </c>
      <c r="G74" t="inlineStr">
        <is>
          <t>BOLLEBYGD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46292</v>
      </c>
      <c r="F75" t="inlineStr">
        <is>
          <t>VÄSTRA GÖTALANDS LÄN</t>
        </is>
      </c>
      <c r="G75" t="inlineStr">
        <is>
          <t>BOLLEBYGD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45358</v>
      </c>
      <c r="E76" s="1" t="n">
        <v>46292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46292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46292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46292</v>
      </c>
      <c r="F79" t="inlineStr">
        <is>
          <t>VÄSTRA GÖTALANDS LÄN</t>
        </is>
      </c>
      <c r="G79" t="inlineStr">
        <is>
          <t>BOLLEBYGD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46292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46292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46292</v>
      </c>
      <c r="F82" t="inlineStr">
        <is>
          <t>VÄSTRA GÖTALANDS LÄN</t>
        </is>
      </c>
      <c r="G82" t="inlineStr">
        <is>
          <t>BOLLEBYGD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46292</v>
      </c>
      <c r="F83" t="inlineStr">
        <is>
          <t>VÄSTRA GÖTALANDS LÄN</t>
        </is>
      </c>
      <c r="G83" t="inlineStr">
        <is>
          <t>BOLLEBYGD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46292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46292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46292</v>
      </c>
      <c r="F86" t="inlineStr">
        <is>
          <t>VÄSTRA GÖTALANDS LÄN</t>
        </is>
      </c>
      <c r="G86" t="inlineStr">
        <is>
          <t>BOLLEBYGD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46292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46292</v>
      </c>
      <c r="F88" t="inlineStr">
        <is>
          <t>VÄSTRA GÖTALANDS LÄN</t>
        </is>
      </c>
      <c r="G88" t="inlineStr">
        <is>
          <t>BOLLEBYGD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46292</v>
      </c>
      <c r="F89" t="inlineStr">
        <is>
          <t>VÄSTRA GÖTALANDS LÄN</t>
        </is>
      </c>
      <c r="G89" t="inlineStr">
        <is>
          <t>BOLLEBYGD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46292</v>
      </c>
      <c r="F90" t="inlineStr">
        <is>
          <t>VÄSTRA GÖTALANDS LÄN</t>
        </is>
      </c>
      <c r="G90" t="inlineStr">
        <is>
          <t>BOLLEBYGD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46292</v>
      </c>
      <c r="F91" t="inlineStr">
        <is>
          <t>VÄSTRA GÖTALANDS LÄN</t>
        </is>
      </c>
      <c r="G91" t="inlineStr">
        <is>
          <t>BOLLEBYGD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12879-2026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46092</v>
      </c>
      <c r="E92" s="1" t="n">
        <v>46292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45713</v>
      </c>
      <c r="E93" s="1" t="n">
        <v>46292</v>
      </c>
      <c r="F93" t="inlineStr">
        <is>
          <t>VÄSTRA GÖTALANDS LÄN</t>
        </is>
      </c>
      <c r="G93" t="inlineStr">
        <is>
          <t>BOLLEBYGD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46292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46292</v>
      </c>
      <c r="F95" t="inlineStr">
        <is>
          <t>VÄSTRA GÖTALANDS LÄN</t>
        </is>
      </c>
      <c r="G95" t="inlineStr">
        <is>
          <t>BOLLEBYGD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45070</v>
      </c>
      <c r="E96" s="1" t="n">
        <v>46292</v>
      </c>
      <c r="F96" t="inlineStr">
        <is>
          <t>VÄSTRA GÖTALANDS LÄN</t>
        </is>
      </c>
      <c r="G96" t="inlineStr">
        <is>
          <t>BOLLEBYGD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46099</v>
      </c>
      <c r="E97" s="1" t="n">
        <v>46292</v>
      </c>
      <c r="F97" t="inlineStr">
        <is>
          <t>VÄSTRA GÖTALANDS LÄN</t>
        </is>
      </c>
      <c r="G97" t="inlineStr">
        <is>
          <t>BOLLEBYGD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46292</v>
      </c>
      <c r="F98" t="inlineStr">
        <is>
          <t>VÄSTRA GÖTALANDS LÄN</t>
        </is>
      </c>
      <c r="G98" t="inlineStr">
        <is>
          <t>BOLLEBYGD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14545-2026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46100</v>
      </c>
      <c r="E99" s="1" t="n">
        <v>46292</v>
      </c>
      <c r="F99" t="inlineStr">
        <is>
          <t>VÄSTRA GÖTALANDS LÄN</t>
        </is>
      </c>
      <c r="G99" t="inlineStr">
        <is>
          <t>BOLLEBYGD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46292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46292</v>
      </c>
      <c r="F101" t="inlineStr">
        <is>
          <t>VÄSTRA GÖTALANDS LÄN</t>
        </is>
      </c>
      <c r="G101" t="inlineStr">
        <is>
          <t>BOLLEBYGD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46292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46292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46292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46292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46292</v>
      </c>
      <c r="F106" t="inlineStr">
        <is>
          <t>VÄSTRA GÖTALANDS LÄN</t>
        </is>
      </c>
      <c r="G106" t="inlineStr">
        <is>
          <t>BOLLEBYGD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46292</v>
      </c>
      <c r="F107" t="inlineStr">
        <is>
          <t>VÄSTRA GÖTALANDS LÄN</t>
        </is>
      </c>
      <c r="G107" t="inlineStr">
        <is>
          <t>BOLLEBYGD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46292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46292</v>
      </c>
      <c r="F109" t="inlineStr">
        <is>
          <t>VÄSTRA GÖTALANDS LÄN</t>
        </is>
      </c>
      <c r="G109" t="inlineStr">
        <is>
          <t>BOLLEBYGD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46292</v>
      </c>
      <c r="F110" t="inlineStr">
        <is>
          <t>VÄSTRA GÖTALANDS LÄN</t>
        </is>
      </c>
      <c r="G110" t="inlineStr">
        <is>
          <t>BOLLEBYGD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46292</v>
      </c>
      <c r="F111" t="inlineStr">
        <is>
          <t>VÄSTRA GÖTALANDS LÄN</t>
        </is>
      </c>
      <c r="G111" t="inlineStr">
        <is>
          <t>BOLLEBYGD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46292</v>
      </c>
      <c r="F112" t="inlineStr">
        <is>
          <t>VÄSTRA GÖTALANDS LÄN</t>
        </is>
      </c>
      <c r="G112" t="inlineStr">
        <is>
          <t>BOLLEBYGD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46292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45696</v>
      </c>
      <c r="E114" s="1" t="n">
        <v>46292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46292</v>
      </c>
      <c r="F115" t="inlineStr">
        <is>
          <t>VÄSTRA GÖTALANDS LÄN</t>
        </is>
      </c>
      <c r="G115" t="inlineStr">
        <is>
          <t>BOLLEBYGD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46292</v>
      </c>
      <c r="F116" t="inlineStr">
        <is>
          <t>VÄSTRA GÖTALANDS LÄN</t>
        </is>
      </c>
      <c r="G116" t="inlineStr">
        <is>
          <t>BOLLEBYGD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46292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46292</v>
      </c>
      <c r="F118" t="inlineStr">
        <is>
          <t>VÄSTRA GÖTALANDS LÄN</t>
        </is>
      </c>
      <c r="G118" t="inlineStr">
        <is>
          <t>BOLLEBYGD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46292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46292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45476</v>
      </c>
      <c r="E121" s="1" t="n">
        <v>46292</v>
      </c>
      <c r="F121" t="inlineStr">
        <is>
          <t>VÄSTRA GÖTALANDS LÄN</t>
        </is>
      </c>
      <c r="G121" t="inlineStr">
        <is>
          <t>BOLLEBYGD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46292</v>
      </c>
      <c r="F122" t="inlineStr">
        <is>
          <t>VÄSTRA GÖTALANDS LÄN</t>
        </is>
      </c>
      <c r="G122" t="inlineStr">
        <is>
          <t>BOLLEBYGD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45994</v>
      </c>
      <c r="E123" s="1" t="n">
        <v>46292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46292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46292</v>
      </c>
      <c r="F125" t="inlineStr">
        <is>
          <t>VÄSTRA GÖTALANDS LÄN</t>
        </is>
      </c>
      <c r="G125" t="inlineStr">
        <is>
          <t>BOLLEBYGD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45999</v>
      </c>
      <c r="E126" s="1" t="n">
        <v>46292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51314-2023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45219</v>
      </c>
      <c r="E127" s="1" t="n">
        <v>46292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46292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46292</v>
      </c>
      <c r="F129" t="inlineStr">
        <is>
          <t>VÄSTRA GÖTALANDS LÄN</t>
        </is>
      </c>
      <c r="G129" t="inlineStr">
        <is>
          <t>BOLLEBYGD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46292</v>
      </c>
      <c r="F130" t="inlineStr">
        <is>
          <t>VÄSTRA GÖTALANDS LÄN</t>
        </is>
      </c>
      <c r="G130" t="inlineStr">
        <is>
          <t>BOLLEBYGD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46292</v>
      </c>
      <c r="F131" t="inlineStr">
        <is>
          <t>VÄSTRA GÖTALANDS LÄN</t>
        </is>
      </c>
      <c r="G131" t="inlineStr">
        <is>
          <t>BOLLEBYGD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46292</v>
      </c>
      <c r="F132" t="inlineStr">
        <is>
          <t>VÄSTRA GÖTALANDS LÄN</t>
        </is>
      </c>
      <c r="G132" t="inlineStr">
        <is>
          <t>BOLLEBYGD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46292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46292</v>
      </c>
      <c r="F134" t="inlineStr">
        <is>
          <t>VÄSTRA GÖTALANDS LÄN</t>
        </is>
      </c>
      <c r="G134" t="inlineStr">
        <is>
          <t>BOLLEBYGD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46292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45041</v>
      </c>
      <c r="E136" s="1" t="n">
        <v>46292</v>
      </c>
      <c r="F136" t="inlineStr">
        <is>
          <t>VÄSTRA GÖTALANDS LÄN</t>
        </is>
      </c>
      <c r="G136" t="inlineStr">
        <is>
          <t>BOLLEBYGD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46292</v>
      </c>
      <c r="F137" t="inlineStr">
        <is>
          <t>VÄSTRA GÖTALANDS LÄN</t>
        </is>
      </c>
      <c r="G137" t="inlineStr">
        <is>
          <t>BOLLEBYGD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46292</v>
      </c>
      <c r="F138" t="inlineStr">
        <is>
          <t>VÄSTRA GÖTALANDS LÄN</t>
        </is>
      </c>
      <c r="G138" t="inlineStr">
        <is>
          <t>BOLLEBYGD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46292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46292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46292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46292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46292</v>
      </c>
      <c r="F143" t="inlineStr">
        <is>
          <t>VÄSTRA GÖTALANDS LÄN</t>
        </is>
      </c>
      <c r="G143" t="inlineStr">
        <is>
          <t>BOLLEBYGD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46292</v>
      </c>
      <c r="F144" t="inlineStr">
        <is>
          <t>VÄSTRA GÖTALANDS LÄN</t>
        </is>
      </c>
      <c r="G144" t="inlineStr">
        <is>
          <t>BOLLEBYGD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46292</v>
      </c>
      <c r="F145" t="inlineStr">
        <is>
          <t>VÄSTRA GÖTALANDS LÄN</t>
        </is>
      </c>
      <c r="G145" t="inlineStr">
        <is>
          <t>BOLLEBYGD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46292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46292</v>
      </c>
      <c r="F147" t="inlineStr">
        <is>
          <t>VÄSTRA GÖTALANDS LÄN</t>
        </is>
      </c>
      <c r="G147" t="inlineStr">
        <is>
          <t>BOLLEBYGD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46292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46292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46292</v>
      </c>
      <c r="F150" t="inlineStr">
        <is>
          <t>VÄSTRA GÖTALANDS LÄN</t>
        </is>
      </c>
      <c r="G150" t="inlineStr">
        <is>
          <t>BOLLEBYGD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46292</v>
      </c>
      <c r="F151" t="inlineStr">
        <is>
          <t>VÄSTRA GÖTALANDS LÄN</t>
        </is>
      </c>
      <c r="G151" t="inlineStr">
        <is>
          <t>BOLLEBYGD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46292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46292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46292</v>
      </c>
      <c r="F154" t="inlineStr">
        <is>
          <t>VÄSTRA GÖTALANDS LÄN</t>
        </is>
      </c>
      <c r="G154" t="inlineStr">
        <is>
          <t>BOLLEBYGD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46292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45836</v>
      </c>
      <c r="E156" s="1" t="n">
        <v>46292</v>
      </c>
      <c r="F156" t="inlineStr">
        <is>
          <t>VÄSTRA GÖTALANDS LÄN</t>
        </is>
      </c>
      <c r="G156" t="inlineStr">
        <is>
          <t>BOLLEBYGD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46292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46292</v>
      </c>
      <c r="F158" t="inlineStr">
        <is>
          <t>VÄSTRA GÖTALANDS LÄN</t>
        </is>
      </c>
      <c r="G158" t="inlineStr">
        <is>
          <t>BOLLEBYGD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46292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46292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46292</v>
      </c>
      <c r="F161" t="inlineStr">
        <is>
          <t>VÄSTRA GÖTALANDS LÄN</t>
        </is>
      </c>
      <c r="G161" t="inlineStr">
        <is>
          <t>BOLLEBYGD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59517-2023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46292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46292</v>
      </c>
      <c r="F163" t="inlineStr">
        <is>
          <t>VÄSTRA GÖTALANDS LÄN</t>
        </is>
      </c>
      <c r="G163" t="inlineStr">
        <is>
          <t>BOLLEBYGD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44966</v>
      </c>
      <c r="E164" s="1" t="n">
        <v>46292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46292</v>
      </c>
      <c r="F165" t="inlineStr">
        <is>
          <t>VÄSTRA GÖTALANDS LÄN</t>
        </is>
      </c>
      <c r="G165" t="inlineStr">
        <is>
          <t>BOLLEBYGD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46292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45476</v>
      </c>
      <c r="E167" s="1" t="n">
        <v>46292</v>
      </c>
      <c r="F167" t="inlineStr">
        <is>
          <t>VÄSTRA GÖTALANDS LÄN</t>
        </is>
      </c>
      <c r="G167" t="inlineStr">
        <is>
          <t>BOLLEBYGD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46292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46292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46292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46292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46292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46292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45872</v>
      </c>
      <c r="E174" s="1" t="n">
        <v>46292</v>
      </c>
      <c r="F174" t="inlineStr">
        <is>
          <t>VÄSTRA GÖTALANDS LÄN</t>
        </is>
      </c>
      <c r="G174" t="inlineStr">
        <is>
          <t>BOLLEBYGD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46292</v>
      </c>
      <c r="F175" t="inlineStr">
        <is>
          <t>VÄSTRA GÖTALANDS LÄN</t>
        </is>
      </c>
      <c r="G175" t="inlineStr">
        <is>
          <t>BOLLEBYGD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46292</v>
      </c>
      <c r="F176" t="inlineStr">
        <is>
          <t>VÄSTRA GÖTALANDS LÄN</t>
        </is>
      </c>
      <c r="G176" t="inlineStr">
        <is>
          <t>BOLLEBYGD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27782-2026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46292</v>
      </c>
      <c r="F177" t="inlineStr">
        <is>
          <t>VÄSTRA GÖTALANDS LÄN</t>
        </is>
      </c>
      <c r="G177" t="inlineStr">
        <is>
          <t>BOLLEBYGD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46292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46292</v>
      </c>
      <c r="F179" t="inlineStr">
        <is>
          <t>VÄSTRA GÖTALANDS LÄN</t>
        </is>
      </c>
      <c r="G179" t="inlineStr">
        <is>
          <t>BOLLEBYGD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46292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46292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46292</v>
      </c>
      <c r="F182" t="inlineStr">
        <is>
          <t>VÄSTRA GÖTALANDS LÄN</t>
        </is>
      </c>
      <c r="G182" t="inlineStr">
        <is>
          <t>BOLLEBYGD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46292</v>
      </c>
      <c r="F183" t="inlineStr">
        <is>
          <t>VÄSTRA GÖTALANDS LÄN</t>
        </is>
      </c>
      <c r="G183" t="inlineStr">
        <is>
          <t>BOLLEBYGD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46292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31546-2022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44775</v>
      </c>
      <c r="E185" s="1" t="n">
        <v>46292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46292</v>
      </c>
      <c r="F186" t="inlineStr">
        <is>
          <t>VÄSTRA GÖTALANDS LÄN</t>
        </is>
      </c>
      <c r="G186" t="inlineStr">
        <is>
          <t>BOLLEBYGD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46292</v>
      </c>
      <c r="F187" t="inlineStr">
        <is>
          <t>VÄSTRA GÖTALANDS LÄN</t>
        </is>
      </c>
      <c r="G187" t="inlineStr">
        <is>
          <t>BOLLEBYGD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46292</v>
      </c>
      <c r="F188" t="inlineStr">
        <is>
          <t>VÄSTRA GÖTALANDS LÄN</t>
        </is>
      </c>
      <c r="G188" t="inlineStr">
        <is>
          <t>BOLLEBYGD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46292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46292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46292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44683</v>
      </c>
      <c r="E192" s="1" t="n">
        <v>46292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46292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46292</v>
      </c>
      <c r="F194" t="inlineStr">
        <is>
          <t>VÄSTRA GÖTALANDS LÄN</t>
        </is>
      </c>
      <c r="G194" t="inlineStr">
        <is>
          <t>BOLLEBYGD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46292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46292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46292</v>
      </c>
      <c r="F197" t="inlineStr">
        <is>
          <t>VÄSTRA GÖTALANDS LÄN</t>
        </is>
      </c>
      <c r="G197" t="inlineStr">
        <is>
          <t>BOLLEBYGD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46259</v>
      </c>
      <c r="E198" s="1" t="n">
        <v>46292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46292</v>
      </c>
      <c r="F199" t="inlineStr">
        <is>
          <t>VÄSTRA GÖTALANDS LÄN</t>
        </is>
      </c>
      <c r="G199" t="inlineStr">
        <is>
          <t>BOLLEBYGD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46292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46292</v>
      </c>
      <c r="F201" t="inlineStr">
        <is>
          <t>VÄSTRA GÖTALANDS LÄN</t>
        </is>
      </c>
      <c r="G201" t="inlineStr">
        <is>
          <t>BOLLEBYGD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46272</v>
      </c>
      <c r="E202" s="1" t="n">
        <v>46292</v>
      </c>
      <c r="F202" t="inlineStr">
        <is>
          <t>VÄSTRA GÖTALANDS LÄN</t>
        </is>
      </c>
      <c r="G202" t="inlineStr">
        <is>
          <t>BOLLEBYGD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46292</v>
      </c>
      <c r="F203" t="inlineStr">
        <is>
          <t>VÄSTRA GÖTALANDS LÄN</t>
        </is>
      </c>
      <c r="G203" t="inlineStr">
        <is>
          <t>BOLLEBYGD</t>
        </is>
      </c>
      <c r="H203" t="inlineStr">
        <is>
          <t>Kyrkan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46292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46292</v>
      </c>
      <c r="F205" t="inlineStr">
        <is>
          <t>VÄSTRA GÖTALANDS LÄN</t>
        </is>
      </c>
      <c r="G205" t="inlineStr">
        <is>
          <t>BOLLEBYGD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46283</v>
      </c>
      <c r="E206" s="1" t="n">
        <v>46292</v>
      </c>
      <c r="F206" t="inlineStr">
        <is>
          <t>VÄSTRA GÖTALANDS LÄN</t>
        </is>
      </c>
      <c r="G206" t="inlineStr">
        <is>
          <t>BOLLEBYGD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46283</v>
      </c>
      <c r="E207" s="1" t="n">
        <v>46292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46288</v>
      </c>
      <c r="E208" s="1" t="n">
        <v>46292</v>
      </c>
      <c r="F208" t="inlineStr">
        <is>
          <t>VÄSTRA GÖTALANDS LÄN</t>
        </is>
      </c>
      <c r="G208" t="inlineStr">
        <is>
          <t>BOLLEBYGD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46292</v>
      </c>
      <c r="F209" t="inlineStr">
        <is>
          <t>VÄSTRA GÖTALANDS LÄN</t>
        </is>
      </c>
      <c r="G209" t="inlineStr">
        <is>
          <t>BOLLEBYGD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46292</v>
      </c>
      <c r="F210" t="inlineStr">
        <is>
          <t>VÄSTRA GÖTALANDS LÄN</t>
        </is>
      </c>
      <c r="G210" t="inlineStr">
        <is>
          <t>BOLLEBYGD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46292</v>
      </c>
      <c r="F211" t="inlineStr">
        <is>
          <t>VÄSTRA GÖTALANDS LÄN</t>
        </is>
      </c>
      <c r="G211" t="inlineStr">
        <is>
          <t>BOLLEBYGD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46290</v>
      </c>
      <c r="E212" s="1" t="n">
        <v>46292</v>
      </c>
      <c r="F212" t="inlineStr">
        <is>
          <t>VÄSTRA GÖTALANDS LÄN</t>
        </is>
      </c>
      <c r="G212" t="inlineStr">
        <is>
          <t>BOLLEBYGD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46292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45308</v>
      </c>
      <c r="E214" s="1" t="n">
        <v>46292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17434-2026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46120</v>
      </c>
      <c r="E215" s="1" t="n">
        <v>46292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46292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44868</v>
      </c>
      <c r="E217" s="1" t="n">
        <v>46292</v>
      </c>
      <c r="F217" t="inlineStr">
        <is>
          <t>VÄSTRA GÖTALANDS LÄN</t>
        </is>
      </c>
      <c r="G217" t="inlineStr">
        <is>
          <t>BOLLEBYGD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44915</v>
      </c>
      <c r="E218" s="1" t="n">
        <v>46292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46292</v>
      </c>
      <c r="F219" t="inlineStr">
        <is>
          <t>VÄSTRA GÖTALANDS LÄN</t>
        </is>
      </c>
      <c r="G219" t="inlineStr">
        <is>
          <t>BOLLEBYGD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46292</v>
      </c>
      <c r="F220" t="inlineStr">
        <is>
          <t>VÄSTRA GÖTALANDS LÄN</t>
        </is>
      </c>
      <c r="G220" t="inlineStr">
        <is>
          <t>BOLLEBYGD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46292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46292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46292</v>
      </c>
      <c r="F223" t="inlineStr">
        <is>
          <t>VÄSTRA GÖTALANDS LÄN</t>
        </is>
      </c>
      <c r="G223" t="inlineStr">
        <is>
          <t>BOLLEBYGD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46292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45276</v>
      </c>
      <c r="E225" s="1" t="n">
        <v>46292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46292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46292</v>
      </c>
      <c r="F227" t="inlineStr">
        <is>
          <t>VÄSTRA GÖTALANDS LÄN</t>
        </is>
      </c>
      <c r="G227" t="inlineStr">
        <is>
          <t>BOLLEBYGD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46292</v>
      </c>
      <c r="F228" t="inlineStr">
        <is>
          <t>VÄSTRA GÖTALANDS LÄN</t>
        </is>
      </c>
      <c r="G228" t="inlineStr">
        <is>
          <t>BOLLEBYGD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46292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46292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46292</v>
      </c>
      <c r="F231" t="inlineStr">
        <is>
          <t>VÄSTRA GÖTALANDS LÄN</t>
        </is>
      </c>
      <c r="G231" t="inlineStr">
        <is>
          <t>BOLLEBYGD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46292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45248</v>
      </c>
      <c r="E233" s="1" t="n">
        <v>46292</v>
      </c>
      <c r="F233" t="inlineStr">
        <is>
          <t>VÄSTRA GÖTALANDS LÄN</t>
        </is>
      </c>
      <c r="G233" t="inlineStr">
        <is>
          <t>BOLLEBYGD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44510</v>
      </c>
      <c r="E234" s="1" t="n">
        <v>46292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46292</v>
      </c>
      <c r="F235" t="inlineStr">
        <is>
          <t>VÄSTRA GÖTALANDS LÄN</t>
        </is>
      </c>
      <c r="G235" t="inlineStr">
        <is>
          <t>BOLLEBYGD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46292</v>
      </c>
      <c r="F236" t="inlineStr">
        <is>
          <t>VÄSTRA GÖTALANDS LÄN</t>
        </is>
      </c>
      <c r="G236" t="inlineStr">
        <is>
          <t>BOLLEBYGD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46292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46292</v>
      </c>
      <c r="F238" t="inlineStr">
        <is>
          <t>VÄSTRA GÖTALANDS LÄN</t>
        </is>
      </c>
      <c r="G238" t="inlineStr">
        <is>
          <t>BOLLEBYGD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46292</v>
      </c>
      <c r="F239" t="inlineStr">
        <is>
          <t>VÄSTRA GÖTALANDS LÄN</t>
        </is>
      </c>
      <c r="G239" t="inlineStr">
        <is>
          <t>BOLLEBYGD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46292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46292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46292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2026-09-27T01:59:59Z</dcterms:created>
  <dcterms:modified xmlns:dcterms="http://purl.org/dc/terms/" xmlns:xsi="http://www.w3.org/2001/XMLSchema-instance" xsi:type="dcterms:W3CDTF">2026-09-27T02:00:00Z</dcterms:modified>
</cp:coreProperties>
</file>